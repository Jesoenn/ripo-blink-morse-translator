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ub\PythonProjects\ripo\test_imgs\"/>
    </mc:Choice>
  </mc:AlternateContent>
  <xr:revisionPtr revIDLastSave="0" documentId="13_ncr:1_{4756CE6B-61FA-4061-8F31-7D48D7D62130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NIC" sheetId="6" r:id="rId1"/>
    <sheet name="BRIGHTNESS" sheetId="5" r:id="rId2"/>
    <sheet name="NOISE" sheetId="4" r:id="rId3"/>
    <sheet name="CLAHE" sheetId="3" r:id="rId4"/>
    <sheet name="ALL" sheetId="2" r:id="rId5"/>
    <sheet name="Arkusz1" sheetId="1" r:id="rId6"/>
    <sheet name="Arkusz2" sheetId="7" r:id="rId7"/>
  </sheets>
  <definedNames>
    <definedName name="ExternalData_1" localSheetId="4" hidden="1">ALL!$A$1:$J$45</definedName>
    <definedName name="ExternalData_2" localSheetId="3" hidden="1">'CLAHE'!$A$1:$J$45</definedName>
    <definedName name="ExternalData_3" localSheetId="2" hidden="1">NOISE!$A$1:$J$45</definedName>
    <definedName name="ExternalData_4" localSheetId="1" hidden="1">BRIGHTNESS!$A$1:$J$45</definedName>
    <definedName name="ExternalData_5" localSheetId="0" hidden="1">NIC!$A$1:$J$45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7" l="1"/>
  <c r="N3" i="7"/>
  <c r="O2" i="7"/>
  <c r="O4" i="7" s="1"/>
  <c r="N2" i="7"/>
  <c r="N4" i="7" s="1"/>
  <c r="O3" i="6"/>
  <c r="N3" i="6"/>
  <c r="O2" i="6"/>
  <c r="O4" i="6" s="1"/>
  <c r="N2" i="6"/>
  <c r="N4" i="6" s="1"/>
  <c r="O3" i="5"/>
  <c r="N3" i="5"/>
  <c r="O2" i="5"/>
  <c r="O4" i="5" s="1"/>
  <c r="N2" i="5"/>
  <c r="N4" i="5" s="1"/>
  <c r="O3" i="4"/>
  <c r="N3" i="4"/>
  <c r="O2" i="4"/>
  <c r="O4" i="4" s="1"/>
  <c r="N2" i="4"/>
  <c r="N4" i="4" s="1"/>
  <c r="O3" i="3"/>
  <c r="N3" i="3"/>
  <c r="O2" i="3"/>
  <c r="O4" i="3" s="1"/>
  <c r="N2" i="3"/>
  <c r="N4" i="3" s="1"/>
  <c r="O3" i="2"/>
  <c r="N3" i="2"/>
  <c r="O2" i="2"/>
  <c r="O4" i="2" s="1"/>
  <c r="N2" i="2"/>
  <c r="N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4B481-637B-4D9E-A7C4-E3EABDB42663}" keepAlive="1" name="Zapytanie — ALL" description="Połączenie z zapytaniem „ALL” w skoroszycie." type="5" refreshedVersion="8" background="1" saveData="1">
    <dbPr connection="Provider=Microsoft.Mashup.OleDb.1;Data Source=$Workbook$;Location=ALL;Extended Properties=&quot;&quot;" command="SELECT * FROM [ALL]"/>
  </connection>
  <connection id="2" xr16:uid="{5B03A5B9-A2EC-4E2B-94B0-A261FA0E2BE6}" keepAlive="1" name="Zapytanie — BRIGHTNESS" description="Połączenie z zapytaniem „BRIGHTNESS” w skoroszycie." type="5" refreshedVersion="8" background="1" saveData="1">
    <dbPr connection="Provider=Microsoft.Mashup.OleDb.1;Data Source=$Workbook$;Location=BRIGHTNESS;Extended Properties=&quot;&quot;" command="SELECT * FROM [BRIGHTNESS]"/>
  </connection>
  <connection id="3" xr16:uid="{ED0A19DD-77D4-4489-A830-C7DF2BAAFFEA}" keepAlive="1" name="Zapytanie — CLAHE" description="Połączenie z zapytaniem „CLAHE” w skoroszycie." type="5" refreshedVersion="8" background="1" saveData="1">
    <dbPr connection="Provider=Microsoft.Mashup.OleDb.1;Data Source=$Workbook$;Location=CLAHE;Extended Properties=&quot;&quot;" command="SELECT * FROM [CLAHE]"/>
  </connection>
  <connection id="4" xr16:uid="{83E85436-C17D-4402-BB32-CC2DDFAF50ED}" keepAlive="1" name="Zapytanie — NIC" description="Połączenie z zapytaniem „NIC” w skoroszycie." type="5" refreshedVersion="8" background="1" saveData="1">
    <dbPr connection="Provider=Microsoft.Mashup.OleDb.1;Data Source=$Workbook$;Location=NIC;Extended Properties=&quot;&quot;" command="SELECT * FROM [NIC]"/>
  </connection>
  <connection id="5" xr16:uid="{C3A5A1F8-D69C-42BA-966E-C4B7C2556820}" keepAlive="1" name="Zapytanie — NOISE" description="Połączenie z zapytaniem „NOISE” w skoroszycie." type="5" refreshedVersion="8" background="1" saveData="1">
    <dbPr connection="Provider=Microsoft.Mashup.OleDb.1;Data Source=$Workbook$;Location=NOISE;Extended Properties=&quot;&quot;" command="SELECT * FROM [NOISE]"/>
  </connection>
</connections>
</file>

<file path=xl/sharedStrings.xml><?xml version="1.0" encoding="utf-8"?>
<sst xmlns="http://schemas.openxmlformats.org/spreadsheetml/2006/main" count="2752" uniqueCount="548">
  <si>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</si>
  <si>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</si>
  <si>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</si>
  <si>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</si>
  <si>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</si>
  <si>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</si>
  <si>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</si>
  <si>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</si>
  <si>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</si>
  <si>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</si>
  <si>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Nazwa pliku</t>
  </si>
  <si>
    <t>Oryginalna etykieta</t>
  </si>
  <si>
    <t>Klasyfikacja</t>
  </si>
  <si>
    <t>CLAHE</t>
  </si>
  <si>
    <t>NOISE REDUCTION</t>
  </si>
  <si>
    <t>NORMALIZACJA JASNOSCI</t>
  </si>
  <si>
    <t>KOREKCJA GAMMA</t>
  </si>
  <si>
    <t>Left EAR</t>
  </si>
  <si>
    <t>Right EAR</t>
  </si>
  <si>
    <t>EAR threshold</t>
  </si>
  <si>
    <t>CLOSED_1.jpg</t>
  </si>
  <si>
    <t>CLOSED</t>
  </si>
  <si>
    <t>YES</t>
  </si>
  <si>
    <t>NO</t>
  </si>
  <si>
    <t>0.0897</t>
  </si>
  <si>
    <t>0.0872</t>
  </si>
  <si>
    <t>0.1800</t>
  </si>
  <si>
    <t>CLOSED_10.jpg</t>
  </si>
  <si>
    <t>OPEN</t>
  </si>
  <si>
    <t>0.2782</t>
  </si>
  <si>
    <t>0.1903</t>
  </si>
  <si>
    <t>CLOSED_11.jpg</t>
  </si>
  <si>
    <t>0.1188</t>
  </si>
  <si>
    <t>0.3129</t>
  </si>
  <si>
    <t>CLOSED_12.jpg</t>
  </si>
  <si>
    <t>0.2749</t>
  </si>
  <si>
    <t>0.2491</t>
  </si>
  <si>
    <t>CLOSED_13.jpg</t>
  </si>
  <si>
    <t>0.0885</t>
  </si>
  <si>
    <t>0.1118</t>
  </si>
  <si>
    <t>CLOSED_14.jpg</t>
  </si>
  <si>
    <t>0.1522</t>
  </si>
  <si>
    <t>0.1705</t>
  </si>
  <si>
    <t>CLOSED_15.jpg</t>
  </si>
  <si>
    <t>0.0760</t>
  </si>
  <si>
    <t>0.1997</t>
  </si>
  <si>
    <t>CLOSED_16.jpg</t>
  </si>
  <si>
    <t>0.0724</t>
  </si>
  <si>
    <t>0.1625</t>
  </si>
  <si>
    <t>CLOSED_17.jpg</t>
  </si>
  <si>
    <t>0.1615</t>
  </si>
  <si>
    <t>0.1135</t>
  </si>
  <si>
    <t>CLOSED_18.jpg</t>
  </si>
  <si>
    <t>0.1534</t>
  </si>
  <si>
    <t>0.1294</t>
  </si>
  <si>
    <t>CLOSED_2.jpg</t>
  </si>
  <si>
    <t>0.1071</t>
  </si>
  <si>
    <t>0.3041</t>
  </si>
  <si>
    <t>CLOSED_3.jpg</t>
  </si>
  <si>
    <t>0.2647</t>
  </si>
  <si>
    <t>0.1546</t>
  </si>
  <si>
    <t>CLOSED_4.jpg</t>
  </si>
  <si>
    <t>0.0847</t>
  </si>
  <si>
    <t>0.0833</t>
  </si>
  <si>
    <t>CLOSED_5.jpg</t>
  </si>
  <si>
    <t>0.1279</t>
  </si>
  <si>
    <t>0.1066</t>
  </si>
  <si>
    <t>CLOSED_6.jpg</t>
  </si>
  <si>
    <t>0.0905</t>
  </si>
  <si>
    <t>0.1747</t>
  </si>
  <si>
    <t>CLOSED_7.jpg</t>
  </si>
  <si>
    <t>0.1378</t>
  </si>
  <si>
    <t>0.0676</t>
  </si>
  <si>
    <t>CLOSED_8.jpg</t>
  </si>
  <si>
    <t>0.1169</t>
  </si>
  <si>
    <t>0.1185</t>
  </si>
  <si>
    <t>CLOSED_9.jpg</t>
  </si>
  <si>
    <t>0.0839</t>
  </si>
  <si>
    <t>0.0548</t>
  </si>
  <si>
    <t>OPEN_1.jpg</t>
  </si>
  <si>
    <t>0.3439</t>
  </si>
  <si>
    <t>0.2757</t>
  </si>
  <si>
    <t>OPEN_10.jpg</t>
  </si>
  <si>
    <t>0.2453</t>
  </si>
  <si>
    <t>0.2112</t>
  </si>
  <si>
    <t>OPEN_11.jpg</t>
  </si>
  <si>
    <t>0.3011</t>
  </si>
  <si>
    <t>0.2748</t>
  </si>
  <si>
    <t>OPEN_13.jpg</t>
  </si>
  <si>
    <t>0.2121</t>
  </si>
  <si>
    <t>0.1549</t>
  </si>
  <si>
    <t>OPEN_14.jpg</t>
  </si>
  <si>
    <t>0.2904</t>
  </si>
  <si>
    <t>0.3160</t>
  </si>
  <si>
    <t>OPEN_15.jpg</t>
  </si>
  <si>
    <t>0.2635</t>
  </si>
  <si>
    <t>0.2560</t>
  </si>
  <si>
    <t>OPEN_16.jpg</t>
  </si>
  <si>
    <t>0.2106</t>
  </si>
  <si>
    <t>0.2006</t>
  </si>
  <si>
    <t>OPEN_17.jpg</t>
  </si>
  <si>
    <t>0.2025</t>
  </si>
  <si>
    <t>0.2558</t>
  </si>
  <si>
    <t>OPEN_18.jpg</t>
  </si>
  <si>
    <t>0.2333</t>
  </si>
  <si>
    <t>0.2676</t>
  </si>
  <si>
    <t>OPEN_19.jpg</t>
  </si>
  <si>
    <t>0.2234</t>
  </si>
  <si>
    <t>0.2578</t>
  </si>
  <si>
    <t>OPEN_2.jpg</t>
  </si>
  <si>
    <t>0.2517</t>
  </si>
  <si>
    <t>0.2584</t>
  </si>
  <si>
    <t>OPEN_20.jpg</t>
  </si>
  <si>
    <t>0.2198</t>
  </si>
  <si>
    <t>0.2166</t>
  </si>
  <si>
    <t>OPEN_21.jpg</t>
  </si>
  <si>
    <t>0.2694</t>
  </si>
  <si>
    <t>0.2665</t>
  </si>
  <si>
    <t>OPEN_22.jpg</t>
  </si>
  <si>
    <t>0.2715</t>
  </si>
  <si>
    <t>0.2604</t>
  </si>
  <si>
    <t>OPEN_23.jpg</t>
  </si>
  <si>
    <t>0.1945</t>
  </si>
  <si>
    <t>0.2292</t>
  </si>
  <si>
    <t>OPEN_24.jpg</t>
  </si>
  <si>
    <t>0.1120</t>
  </si>
  <si>
    <t>0.0708</t>
  </si>
  <si>
    <t>OPEN_25.jpg</t>
  </si>
  <si>
    <t>0.2788</t>
  </si>
  <si>
    <t>0.2752</t>
  </si>
  <si>
    <t>OPEN_26.jpg</t>
  </si>
  <si>
    <t>0.2197</t>
  </si>
  <si>
    <t>0.2639</t>
  </si>
  <si>
    <t>OPEN_3.jpg</t>
  </si>
  <si>
    <t>0.1882</t>
  </si>
  <si>
    <t>0.1495</t>
  </si>
  <si>
    <t>OPEN_4.jpg</t>
  </si>
  <si>
    <t>0.2272</t>
  </si>
  <si>
    <t>0.2228</t>
  </si>
  <si>
    <t>OPEN_5.jpg</t>
  </si>
  <si>
    <t>0.2884</t>
  </si>
  <si>
    <t>0.2533</t>
  </si>
  <si>
    <t>OPEN_6.jpg</t>
  </si>
  <si>
    <t>0.1822</t>
  </si>
  <si>
    <t>0.2771</t>
  </si>
  <si>
    <t>OPEN_7.jpg</t>
  </si>
  <si>
    <t>0.2951</t>
  </si>
  <si>
    <t>0.2299</t>
  </si>
  <si>
    <t>OPEN_8.jpg</t>
  </si>
  <si>
    <t>0.3474</t>
  </si>
  <si>
    <t>0.2818</t>
  </si>
  <si>
    <t>OPEN_9.jpg</t>
  </si>
  <si>
    <t>0.4428</t>
  </si>
  <si>
    <t>0.3569</t>
  </si>
  <si>
    <t>0.0943</t>
  </si>
  <si>
    <t>0.1013</t>
  </si>
  <si>
    <t>0.2871</t>
  </si>
  <si>
    <t>0.1418</t>
  </si>
  <si>
    <t>0.1244</t>
  </si>
  <si>
    <t>0.2738</t>
  </si>
  <si>
    <t>0.2593</t>
  </si>
  <si>
    <t>0.2339</t>
  </si>
  <si>
    <t>0.1064</t>
  </si>
  <si>
    <t>0.1377</t>
  </si>
  <si>
    <t>0.1924</t>
  </si>
  <si>
    <t>0.0570</t>
  </si>
  <si>
    <t>0.1773</t>
  </si>
  <si>
    <t>0.0659</t>
  </si>
  <si>
    <t>0.1270</t>
  </si>
  <si>
    <t>0.0761</t>
  </si>
  <si>
    <t>0.1786</t>
  </si>
  <si>
    <t>0.1447</t>
  </si>
  <si>
    <t>0.0917</t>
  </si>
  <si>
    <t>0.2907</t>
  </si>
  <si>
    <t>0.2885</t>
  </si>
  <si>
    <t>0.1083</t>
  </si>
  <si>
    <t>0.0821</t>
  </si>
  <si>
    <t>0.0723</t>
  </si>
  <si>
    <t>0.1061</t>
  </si>
  <si>
    <t>0.1006</t>
  </si>
  <si>
    <t>0.1900</t>
  </si>
  <si>
    <t>0.0972</t>
  </si>
  <si>
    <t>0.0729</t>
  </si>
  <si>
    <t>0.0948</t>
  </si>
  <si>
    <t>0.0611</t>
  </si>
  <si>
    <t>0.0148</t>
  </si>
  <si>
    <t>0.2932</t>
  </si>
  <si>
    <t>0.2586</t>
  </si>
  <si>
    <t>0.2590</t>
  </si>
  <si>
    <t>0.2152</t>
  </si>
  <si>
    <t>0.3266</t>
  </si>
  <si>
    <t>0.2063</t>
  </si>
  <si>
    <t>0.1748</t>
  </si>
  <si>
    <t>0.2828</t>
  </si>
  <si>
    <t>0.2960</t>
  </si>
  <si>
    <t>0.2569</t>
  </si>
  <si>
    <t>0.2706</t>
  </si>
  <si>
    <t>0.2139</t>
  </si>
  <si>
    <t>0.2208</t>
  </si>
  <si>
    <t>0.1967</t>
  </si>
  <si>
    <t>0.2396</t>
  </si>
  <si>
    <t>0.2630</t>
  </si>
  <si>
    <t>0.2601</t>
  </si>
  <si>
    <t>0.2408</t>
  </si>
  <si>
    <t>0.2454</t>
  </si>
  <si>
    <t>0.2255</t>
  </si>
  <si>
    <t>0.2065</t>
  </si>
  <si>
    <t>0.2812</t>
  </si>
  <si>
    <t>0.2800</t>
  </si>
  <si>
    <t>0.2667</t>
  </si>
  <si>
    <t>0.2711</t>
  </si>
  <si>
    <t>0.1963</t>
  </si>
  <si>
    <t>0.2295</t>
  </si>
  <si>
    <t>0.1245</t>
  </si>
  <si>
    <t>0.0952</t>
  </si>
  <si>
    <t>0.2985</t>
  </si>
  <si>
    <t>0.2854</t>
  </si>
  <si>
    <t>0.2276</t>
  </si>
  <si>
    <t>0.2502</t>
  </si>
  <si>
    <t>0.2113</t>
  </si>
  <si>
    <t>0.1814</t>
  </si>
  <si>
    <t>0.2576</t>
  </si>
  <si>
    <t>0.2307</t>
  </si>
  <si>
    <t>0.2988</t>
  </si>
  <si>
    <t>0.2318</t>
  </si>
  <si>
    <t>0.1941</t>
  </si>
  <si>
    <t>0.2603</t>
  </si>
  <si>
    <t>0.2934</t>
  </si>
  <si>
    <t>0.2176</t>
  </si>
  <si>
    <t>0.3396</t>
  </si>
  <si>
    <t>0.3000</t>
  </si>
  <si>
    <t>0.4515</t>
  </si>
  <si>
    <t>0.3723</t>
  </si>
  <si>
    <t>0.0886</t>
  </si>
  <si>
    <t>0.1103</t>
  </si>
  <si>
    <t>0.2532</t>
  </si>
  <si>
    <t>0.1999</t>
  </si>
  <si>
    <t>0.1440</t>
  </si>
  <si>
    <t>0.2905</t>
  </si>
  <si>
    <t>0.2512</t>
  </si>
  <si>
    <t>0.2031</t>
  </si>
  <si>
    <t>0.1409</t>
  </si>
  <si>
    <t>0.1444</t>
  </si>
  <si>
    <t>0.1529</t>
  </si>
  <si>
    <t>0.1028</t>
  </si>
  <si>
    <t>0.2274</t>
  </si>
  <si>
    <t>0.1012</t>
  </si>
  <si>
    <t>0.1869</t>
  </si>
  <si>
    <t>0.1230</t>
  </si>
  <si>
    <t>0.1110</t>
  </si>
  <si>
    <t>0.1739</t>
  </si>
  <si>
    <t>0.1164</t>
  </si>
  <si>
    <t>0.3059</t>
  </si>
  <si>
    <t>0.2739</t>
  </si>
  <si>
    <t>0.1318</t>
  </si>
  <si>
    <t>0.0816</t>
  </si>
  <si>
    <t>0.1184</t>
  </si>
  <si>
    <t>0.1104</t>
  </si>
  <si>
    <t>0.1344</t>
  </si>
  <si>
    <t>0.0888</t>
  </si>
  <si>
    <t>0.2356</t>
  </si>
  <si>
    <t>0.0532</t>
  </si>
  <si>
    <t>0.1092</t>
  </si>
  <si>
    <t>0.0993</t>
  </si>
  <si>
    <t>0.0926</t>
  </si>
  <si>
    <t>0.1240</t>
  </si>
  <si>
    <t>0.3561</t>
  </si>
  <si>
    <t>0.2525</t>
  </si>
  <si>
    <t>0.2107</t>
  </si>
  <si>
    <t>0.3337</t>
  </si>
  <si>
    <t>0.2679</t>
  </si>
  <si>
    <t>0.2264</t>
  </si>
  <si>
    <t>0.2890</t>
  </si>
  <si>
    <t>0.3073</t>
  </si>
  <si>
    <t>0.2441</t>
  </si>
  <si>
    <t>0.2358</t>
  </si>
  <si>
    <t>0.1966</t>
  </si>
  <si>
    <t>0.2060</t>
  </si>
  <si>
    <t>0.2488</t>
  </si>
  <si>
    <t>0.2285</t>
  </si>
  <si>
    <t>0.2546</t>
  </si>
  <si>
    <t>0.1971</t>
  </si>
  <si>
    <t>0.2657</t>
  </si>
  <si>
    <t>0.2803</t>
  </si>
  <si>
    <t>0.2702</t>
  </si>
  <si>
    <t>0.2211</t>
  </si>
  <si>
    <t>0.1887</t>
  </si>
  <si>
    <t>0.2708</t>
  </si>
  <si>
    <t>0.2883</t>
  </si>
  <si>
    <t>0.2959</t>
  </si>
  <si>
    <t>0.2637</t>
  </si>
  <si>
    <t>0.1816</t>
  </si>
  <si>
    <t>0.2111</t>
  </si>
  <si>
    <t>0.1299</t>
  </si>
  <si>
    <t>0.0775</t>
  </si>
  <si>
    <t>0.2877</t>
  </si>
  <si>
    <t>0.2496</t>
  </si>
  <si>
    <t>0.2338</t>
  </si>
  <si>
    <t>0.1958</t>
  </si>
  <si>
    <t>0.1518</t>
  </si>
  <si>
    <t>0.2389</t>
  </si>
  <si>
    <t>0.2379</t>
  </si>
  <si>
    <t>0.3084</t>
  </si>
  <si>
    <t>0.2652</t>
  </si>
  <si>
    <t>0.1905</t>
  </si>
  <si>
    <t>0.2875</t>
  </si>
  <si>
    <t>0.2816</t>
  </si>
  <si>
    <t>0.2265</t>
  </si>
  <si>
    <t>0.3407</t>
  </si>
  <si>
    <t>0.2950</t>
  </si>
  <si>
    <t>0.4090</t>
  </si>
  <si>
    <t>0.3717</t>
  </si>
  <si>
    <t>0.0998</t>
  </si>
  <si>
    <t>0.0953</t>
  </si>
  <si>
    <t>0.1968</t>
  </si>
  <si>
    <t>0.1612</t>
  </si>
  <si>
    <t>0.3159</t>
  </si>
  <si>
    <t>0.2523</t>
  </si>
  <si>
    <t>0.1379</t>
  </si>
  <si>
    <t>0.1490</t>
  </si>
  <si>
    <t>0.1838</t>
  </si>
  <si>
    <t>0.1590</t>
  </si>
  <si>
    <t>0.1145</t>
  </si>
  <si>
    <t>0.1858</t>
  </si>
  <si>
    <t>0.1079</t>
  </si>
  <si>
    <t>0.1755</t>
  </si>
  <si>
    <t>0.1442</t>
  </si>
  <si>
    <t>0.1228</t>
  </si>
  <si>
    <t>0.2394</t>
  </si>
  <si>
    <t>0.1872</t>
  </si>
  <si>
    <t>0.3145</t>
  </si>
  <si>
    <t>0.2633</t>
  </si>
  <si>
    <t>0.1788</t>
  </si>
  <si>
    <t>0.0978</t>
  </si>
  <si>
    <t>0.1197</t>
  </si>
  <si>
    <t>0.1003</t>
  </si>
  <si>
    <t>0.1000</t>
  </si>
  <si>
    <t>0.0918</t>
  </si>
  <si>
    <t>0.2513</t>
  </si>
  <si>
    <t>0.1722</t>
  </si>
  <si>
    <t>0.0785</t>
  </si>
  <si>
    <t>0.1928</t>
  </si>
  <si>
    <t>0.1676</t>
  </si>
  <si>
    <t>0.0811</t>
  </si>
  <si>
    <t>0.1287</t>
  </si>
  <si>
    <t>0.3382</t>
  </si>
  <si>
    <t>0.2641</t>
  </si>
  <si>
    <t>0.2522</t>
  </si>
  <si>
    <t>0.2109</t>
  </si>
  <si>
    <t>0.3405</t>
  </si>
  <si>
    <t>0.2982</t>
  </si>
  <si>
    <t>0.2277</t>
  </si>
  <si>
    <t>0.1512</t>
  </si>
  <si>
    <t>0.2984</t>
  </si>
  <si>
    <t>0.3263</t>
  </si>
  <si>
    <t>0.2398</t>
  </si>
  <si>
    <t>0.2344</t>
  </si>
  <si>
    <t>0.1993</t>
  </si>
  <si>
    <t>0.2099</t>
  </si>
  <si>
    <t>0.2447</t>
  </si>
  <si>
    <t>0.2243</t>
  </si>
  <si>
    <t>0.2437</t>
  </si>
  <si>
    <t>0.2158</t>
  </si>
  <si>
    <t>0.2642</t>
  </si>
  <si>
    <t>0.2683</t>
  </si>
  <si>
    <t>0.2572</t>
  </si>
  <si>
    <t>0.1951</t>
  </si>
  <si>
    <t>0.2820</t>
  </si>
  <si>
    <t>0.2770</t>
  </si>
  <si>
    <t>0.2889</t>
  </si>
  <si>
    <t>0.2636</t>
  </si>
  <si>
    <t>0.1679</t>
  </si>
  <si>
    <t>0.2213</t>
  </si>
  <si>
    <t>0.1155</t>
  </si>
  <si>
    <t>0.0804</t>
  </si>
  <si>
    <t>0.2710</t>
  </si>
  <si>
    <t>0.2900</t>
  </si>
  <si>
    <t>0.2390</t>
  </si>
  <si>
    <t>0.2223</t>
  </si>
  <si>
    <t>0.2094</t>
  </si>
  <si>
    <t>0.1517</t>
  </si>
  <si>
    <t>0.2432</t>
  </si>
  <si>
    <t>0.2498</t>
  </si>
  <si>
    <t>0.1837</t>
  </si>
  <si>
    <t>0.3045</t>
  </si>
  <si>
    <t>0.3054</t>
  </si>
  <si>
    <t>0.2325</t>
  </si>
  <si>
    <t>0.3421</t>
  </si>
  <si>
    <t>0.2735</t>
  </si>
  <si>
    <t>0.4200</t>
  </si>
  <si>
    <t>0.3660</t>
  </si>
  <si>
    <t>0.0921</t>
  </si>
  <si>
    <t>0.0940</t>
  </si>
  <si>
    <t>0.2511</t>
  </si>
  <si>
    <t>0.1921</t>
  </si>
  <si>
    <t>0.3097</t>
  </si>
  <si>
    <t>0.2552</t>
  </si>
  <si>
    <t>0.1866</t>
  </si>
  <si>
    <t>0.1277</t>
  </si>
  <si>
    <t>0.1685</t>
  </si>
  <si>
    <t>0.1985</t>
  </si>
  <si>
    <t>0.1438</t>
  </si>
  <si>
    <t>0.1181</t>
  </si>
  <si>
    <t>0.2007</t>
  </si>
  <si>
    <t>0.1857</t>
  </si>
  <si>
    <t>0.1281</t>
  </si>
  <si>
    <t>0.1186</t>
  </si>
  <si>
    <t>0.2167</t>
  </si>
  <si>
    <t>0.1771</t>
  </si>
  <si>
    <t>0.1047</t>
  </si>
  <si>
    <t>0.2687</t>
  </si>
  <si>
    <t>0.1904</t>
  </si>
  <si>
    <t>0.0791</t>
  </si>
  <si>
    <t>0.1105</t>
  </si>
  <si>
    <t>0.1106</t>
  </si>
  <si>
    <t>0.1190</t>
  </si>
  <si>
    <t>0.0981</t>
  </si>
  <si>
    <t>0.2505</t>
  </si>
  <si>
    <t>0.0792</t>
  </si>
  <si>
    <t>0.0636</t>
  </si>
  <si>
    <t>0.0843</t>
  </si>
  <si>
    <t>0.3415</t>
  </si>
  <si>
    <t>0.2815</t>
  </si>
  <si>
    <t>0.2704</t>
  </si>
  <si>
    <t>0.3301</t>
  </si>
  <si>
    <t>0.2785</t>
  </si>
  <si>
    <t>0.1569</t>
  </si>
  <si>
    <t>0.3036</t>
  </si>
  <si>
    <t>0.3210</t>
  </si>
  <si>
    <t>0.2530</t>
  </si>
  <si>
    <t>0.2534</t>
  </si>
  <si>
    <t>0.2337</t>
  </si>
  <si>
    <t>0.2116</t>
  </si>
  <si>
    <t>0.2142</t>
  </si>
  <si>
    <t>0.2376</t>
  </si>
  <si>
    <t>0.2174</t>
  </si>
  <si>
    <t>0.2053</t>
  </si>
  <si>
    <t>0.2469</t>
  </si>
  <si>
    <t>0.2792</t>
  </si>
  <si>
    <t>0.2466</t>
  </si>
  <si>
    <t>0.2151</t>
  </si>
  <si>
    <t>0.1855</t>
  </si>
  <si>
    <t>0.2701</t>
  </si>
  <si>
    <t>0.2826</t>
  </si>
  <si>
    <t>0.2467</t>
  </si>
  <si>
    <t>0.1752</t>
  </si>
  <si>
    <t>0.2001</t>
  </si>
  <si>
    <t>0.1088</t>
  </si>
  <si>
    <t>0.0797</t>
  </si>
  <si>
    <t>0.2825</t>
  </si>
  <si>
    <t>0.2329</t>
  </si>
  <si>
    <t>0.2259</t>
  </si>
  <si>
    <t>0.1835</t>
  </si>
  <si>
    <t>0.1531</t>
  </si>
  <si>
    <t>0.2196</t>
  </si>
  <si>
    <t>0.3239</t>
  </si>
  <si>
    <t>0.2614</t>
  </si>
  <si>
    <t>0.2076</t>
  </si>
  <si>
    <t>0.2878</t>
  </si>
  <si>
    <t>0.2880</t>
  </si>
  <si>
    <t>0.2127</t>
  </si>
  <si>
    <t>0.3290</t>
  </si>
  <si>
    <t>0.2879</t>
  </si>
  <si>
    <t>0.4040</t>
  </si>
  <si>
    <t>0.3777</t>
  </si>
  <si>
    <t>ZGADZA SIĘ</t>
  </si>
  <si>
    <t>SUMA</t>
  </si>
  <si>
    <t>PROCENT</t>
  </si>
  <si>
    <t>NIC</t>
  </si>
  <si>
    <t>NOISE</t>
  </si>
  <si>
    <t>ALL</t>
  </si>
  <si>
    <t>BRIGHTNESS</t>
  </si>
  <si>
    <t>Przetwarzanie</t>
  </si>
  <si>
    <t>Zamknięte</t>
  </si>
  <si>
    <t>Otwarte</t>
  </si>
  <si>
    <t>Żadne</t>
  </si>
  <si>
    <t>Redukcja szumów</t>
  </si>
  <si>
    <t>Normalizacja jasności</t>
  </si>
  <si>
    <t>Wszystkie</t>
  </si>
  <si>
    <t>0.1116</t>
  </si>
  <si>
    <t>0.0862</t>
  </si>
  <si>
    <t>0.2755</t>
  </si>
  <si>
    <t>0.1227</t>
  </si>
  <si>
    <t>0.2975</t>
  </si>
  <si>
    <t>0.2653</t>
  </si>
  <si>
    <t>0.2230</t>
  </si>
  <si>
    <t>0.1215</t>
  </si>
  <si>
    <t>0.1034</t>
  </si>
  <si>
    <t>0.0753</t>
  </si>
  <si>
    <t>0.1899</t>
  </si>
  <si>
    <t>0.0683</t>
  </si>
  <si>
    <t>0.1149</t>
  </si>
  <si>
    <t>0.1272</t>
  </si>
  <si>
    <t>0.1990</t>
  </si>
  <si>
    <t>0.1284</t>
  </si>
  <si>
    <t>0.3070</t>
  </si>
  <si>
    <t>0.2732</t>
  </si>
  <si>
    <t>0.0871</t>
  </si>
  <si>
    <t>0.1304</t>
  </si>
  <si>
    <t>0.0891</t>
  </si>
  <si>
    <t>0.0961</t>
  </si>
  <si>
    <t>0.1953</t>
  </si>
  <si>
    <t>0.0777</t>
  </si>
  <si>
    <t>0.0857</t>
  </si>
  <si>
    <t>0.0778</t>
  </si>
  <si>
    <t>0.0526</t>
  </si>
  <si>
    <t>0.2978</t>
  </si>
  <si>
    <t>0.2686</t>
  </si>
  <si>
    <t>0.2528</t>
  </si>
  <si>
    <t>0.2126</t>
  </si>
  <si>
    <t>0.3513</t>
  </si>
  <si>
    <t>0.2834</t>
  </si>
  <si>
    <t>0.1853</t>
  </si>
  <si>
    <t>0.3007</t>
  </si>
  <si>
    <t>0.2654</t>
  </si>
  <si>
    <t>0.2775</t>
  </si>
  <si>
    <t>0.2055</t>
  </si>
  <si>
    <t>0.2193</t>
  </si>
  <si>
    <t>0.1982</t>
  </si>
  <si>
    <t>0.2599</t>
  </si>
  <si>
    <t>0.2216</t>
  </si>
  <si>
    <t>0.2508</t>
  </si>
  <si>
    <t>0.2241</t>
  </si>
  <si>
    <t>0.2473</t>
  </si>
  <si>
    <t>0.1919</t>
  </si>
  <si>
    <t>0.2664</t>
  </si>
  <si>
    <t>0.2910</t>
  </si>
  <si>
    <t>0.2607</t>
  </si>
  <si>
    <t>0.2766</t>
  </si>
  <si>
    <t>0.1854</t>
  </si>
  <si>
    <t>0.2195</t>
  </si>
  <si>
    <t>0.0909</t>
  </si>
  <si>
    <t>0.2891</t>
  </si>
  <si>
    <t>0.2290</t>
  </si>
  <si>
    <t>0.1896</t>
  </si>
  <si>
    <t>0.1832</t>
  </si>
  <si>
    <t>0.2481</t>
  </si>
  <si>
    <t>0.2377</t>
  </si>
  <si>
    <t>0.3127</t>
  </si>
  <si>
    <t>0.2387</t>
  </si>
  <si>
    <t>0.1789</t>
  </si>
  <si>
    <t>0.3130</t>
  </si>
  <si>
    <t>0.2348</t>
  </si>
  <si>
    <t>0.3449</t>
  </si>
  <si>
    <t>0.2804</t>
  </si>
  <si>
    <t>0.4451</t>
  </si>
  <si>
    <t>0.3682</t>
  </si>
  <si>
    <t>CLAHE + Jasność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</si>
</sst>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ny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9DDE0048-0967-4253-892B-8A7C7BA6B7B9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7B84740-BF23-49F3-BE61-F01E1F05B7FD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8C54911-BE1C-48AA-B60E-5B52948D6359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A41538E-44E6-41E3-91C7-998E95AE231A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24FA8A-2C46-45D7-B3A0-501C708782F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A3BCE6-2EEC-41B8-8303-7367007D51CA}" name="NIC" displayName="NIC" ref="A1:J45" tableType="queryTable" totalsRowShown="0">
  <autoFilter ref="A1:J45" xr:uid="{80A3BCE6-2EEC-41B8-8303-7367007D51CA}"/>
  <tableColumns count="10">
    <tableColumn id="1" xr3:uid="{B958C9DC-59ED-44D8-B2EA-E0202A3ABAA8}" uniqueName="1" name="Column1" queryTableFieldId="1" dataDxfId="9"/>
    <tableColumn id="2" xr3:uid="{BF623B7B-E41A-479A-8048-D9A1AC6A5587}" uniqueName="2" name="Column2" queryTableFieldId="2" dataDxfId="8"/>
    <tableColumn id="3" xr3:uid="{5C097B9D-6B4E-4D9F-9B35-7612F929071E}" uniqueName="3" name="Column3" queryTableFieldId="3" dataDxfId="7"/>
    <tableColumn id="4" xr3:uid="{0269FE86-1474-4622-A116-22FA92280F10}" uniqueName="4" name="Column4" queryTableFieldId="4" dataDxfId="6"/>
    <tableColumn id="5" xr3:uid="{12E96209-CC21-4BE5-97B5-CB9A9CE81CE0}" uniqueName="5" name="Column5" queryTableFieldId="5" dataDxfId="5"/>
    <tableColumn id="6" xr3:uid="{28621441-A14C-4B5C-A62A-E735A4E89631}" uniqueName="6" name="Column6" queryTableFieldId="6" dataDxfId="4"/>
    <tableColumn id="7" xr3:uid="{58F61210-60DD-4E21-AAC6-3840E56219AA}" uniqueName="7" name="Column7" queryTableFieldId="7" dataDxfId="3"/>
    <tableColumn id="8" xr3:uid="{17C9BD0B-CF6C-4944-BF06-231CA0BC122E}" uniqueName="8" name="Column8" queryTableFieldId="8" dataDxfId="2"/>
    <tableColumn id="9" xr3:uid="{07F25F67-F072-41A1-8F7B-1C1FDD5C33F3}" uniqueName="9" name="Column9" queryTableFieldId="9" dataDxfId="1"/>
    <tableColumn id="10" xr3:uid="{9B952966-2B12-47E2-B7BB-618869C908F6}" uniqueName="10" name="Column10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9E4760-24CC-4AB6-BE76-C19BB19AC1A3}" name="BRIGHTNESS" displayName="BRIGHTNESS" ref="A1:J45" tableType="queryTable" totalsRowShown="0">
  <autoFilter ref="A1:J45" xr:uid="{F59E4760-24CC-4AB6-BE76-C19BB19AC1A3}"/>
  <tableColumns count="10">
    <tableColumn id="1" xr3:uid="{48BB7A06-499C-4A0F-9CB1-4771A9F83E8E}" uniqueName="1" name="Column1" queryTableFieldId="1" dataDxfId="19"/>
    <tableColumn id="2" xr3:uid="{A11BFC06-9051-423C-AD0A-518CD275B964}" uniqueName="2" name="Column2" queryTableFieldId="2" dataDxfId="18"/>
    <tableColumn id="3" xr3:uid="{5E8B6AA6-D99D-4872-A91F-31F625765627}" uniqueName="3" name="Column3" queryTableFieldId="3" dataDxfId="17"/>
    <tableColumn id="4" xr3:uid="{196524AE-1277-434C-8726-6C93DBB7C54C}" uniqueName="4" name="Column4" queryTableFieldId="4" dataDxfId="16"/>
    <tableColumn id="5" xr3:uid="{C5BABA54-BDF3-4772-A588-0E2D8307F061}" uniqueName="5" name="Column5" queryTableFieldId="5" dataDxfId="15"/>
    <tableColumn id="6" xr3:uid="{546A6883-39E6-489B-8856-117F8DC237F1}" uniqueName="6" name="Column6" queryTableFieldId="6" dataDxfId="14"/>
    <tableColumn id="7" xr3:uid="{E7938937-88A3-419C-A730-1D2F06DB1856}" uniqueName="7" name="Column7" queryTableFieldId="7" dataDxfId="13"/>
    <tableColumn id="8" xr3:uid="{E054854F-635A-4FC0-8668-A7A0A22C0F04}" uniqueName="8" name="Column8" queryTableFieldId="8" dataDxfId="12"/>
    <tableColumn id="9" xr3:uid="{F9423511-E35A-4210-B479-AB20CC009D3C}" uniqueName="9" name="Column9" queryTableFieldId="9" dataDxfId="11"/>
    <tableColumn id="10" xr3:uid="{A7D83C1D-41A6-460D-BA2B-A311AB9C8795}" uniqueName="10" name="Column10" queryTableFieldId="10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66145F-E628-42DE-BEC3-5FECF755B3D1}" name="NOISE" displayName="NOISE" ref="A1:J45" tableType="queryTable" totalsRowShown="0">
  <autoFilter ref="A1:J45" xr:uid="{4966145F-E628-42DE-BEC3-5FECF755B3D1}"/>
  <tableColumns count="10">
    <tableColumn id="1" xr3:uid="{1048CF65-F179-468F-9B5A-C6A017791DB3}" uniqueName="1" name="Column1" queryTableFieldId="1" dataDxfId="29"/>
    <tableColumn id="2" xr3:uid="{ED9C0B03-1062-48A0-BCB3-54AA36FC2A70}" uniqueName="2" name="Column2" queryTableFieldId="2" dataDxfId="28"/>
    <tableColumn id="3" xr3:uid="{4145487B-A740-4E0F-A949-75CB5BB642CD}" uniqueName="3" name="Column3" queryTableFieldId="3" dataDxfId="27"/>
    <tableColumn id="4" xr3:uid="{0A6B5476-3332-43AB-9A8C-D23455348329}" uniqueName="4" name="Column4" queryTableFieldId="4" dataDxfId="26"/>
    <tableColumn id="5" xr3:uid="{DDE2A441-94D0-45BB-9ADA-4AE67CC3A1EB}" uniqueName="5" name="Column5" queryTableFieldId="5" dataDxfId="25"/>
    <tableColumn id="6" xr3:uid="{0857DED5-D338-42E0-9F91-44690EBE3F03}" uniqueName="6" name="Column6" queryTableFieldId="6" dataDxfId="24"/>
    <tableColumn id="7" xr3:uid="{8F36B4F8-EAD8-4EB8-BF9E-27086A3B405A}" uniqueName="7" name="Column7" queryTableFieldId="7" dataDxfId="23"/>
    <tableColumn id="8" xr3:uid="{A2B0E331-4413-4523-9C60-303B4FE46DCF}" uniqueName="8" name="Column8" queryTableFieldId="8" dataDxfId="22"/>
    <tableColumn id="9" xr3:uid="{F4818817-6724-42CD-9459-4142B2875117}" uniqueName="9" name="Column9" queryTableFieldId="9" dataDxfId="21"/>
    <tableColumn id="10" xr3:uid="{8CD3D064-C30C-4734-B722-736F533D5A40}" uniqueName="10" name="Column10" queryTableFieldId="10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7D75C0-4017-4F7A-B4EC-3DE5779C75A2}" name="CLAHE" displayName="CLAHE" ref="A1:J45" tableType="queryTable" totalsRowShown="0">
  <autoFilter ref="A1:J45" xr:uid="{9A7D75C0-4017-4F7A-B4EC-3DE5779C75A2}"/>
  <tableColumns count="10">
    <tableColumn id="1" xr3:uid="{4941D7DE-C72B-4E39-B45F-B4ABC46C5A2D}" uniqueName="1" name="Column1" queryTableFieldId="1" dataDxfId="39"/>
    <tableColumn id="2" xr3:uid="{D1CB387E-A163-4DAB-BCC2-876D958625A4}" uniqueName="2" name="Column2" queryTableFieldId="2" dataDxfId="38"/>
    <tableColumn id="3" xr3:uid="{8C21D541-5EF4-4E1C-A9EE-494B4F838529}" uniqueName="3" name="Column3" queryTableFieldId="3" dataDxfId="37"/>
    <tableColumn id="4" xr3:uid="{8185D672-BCDF-47A1-AF13-5C238EC362C9}" uniqueName="4" name="Column4" queryTableFieldId="4" dataDxfId="36"/>
    <tableColumn id="5" xr3:uid="{4A31FC6B-A658-4811-974E-8F88227A9CD1}" uniqueName="5" name="Column5" queryTableFieldId="5" dataDxfId="35"/>
    <tableColumn id="6" xr3:uid="{7886C6FB-BC6A-4E2E-92A0-4126FC311AC0}" uniqueName="6" name="Column6" queryTableFieldId="6" dataDxfId="34"/>
    <tableColumn id="7" xr3:uid="{0DFEC6B3-9813-4066-BC79-55C79EA51DD8}" uniqueName="7" name="Column7" queryTableFieldId="7" dataDxfId="33"/>
    <tableColumn id="8" xr3:uid="{4ECEEAEA-B823-4D92-AEB3-15B1B4260E01}" uniqueName="8" name="Column8" queryTableFieldId="8" dataDxfId="32"/>
    <tableColumn id="9" xr3:uid="{4B456CD1-8BF7-4BF3-9266-E424065CB62C}" uniqueName="9" name="Column9" queryTableFieldId="9" dataDxfId="31"/>
    <tableColumn id="10" xr3:uid="{0B088BCA-19EB-458A-B1DC-FA85B1D268A2}" uniqueName="10" name="Column10" queryTableFieldId="10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E9E37-1D83-453C-8A14-2A99D0867343}" name="ALL" displayName="ALL" ref="A1:J45" tableType="queryTable" totalsRowShown="0">
  <autoFilter ref="A1:J45" xr:uid="{BDBE9E37-1D83-453C-8A14-2A99D0867343}"/>
  <tableColumns count="10">
    <tableColumn id="1" xr3:uid="{9DD0893E-60B1-4362-9873-84B289A863CE}" uniqueName="1" name="Column1" queryTableFieldId="1" dataDxfId="49"/>
    <tableColumn id="2" xr3:uid="{08F7DCC1-E698-4465-8A96-9CC0E9EFEA58}" uniqueName="2" name="Column2" queryTableFieldId="2" dataDxfId="48"/>
    <tableColumn id="3" xr3:uid="{14158BBD-CF3F-4233-A17B-8E2F1FD43B01}" uniqueName="3" name="Column3" queryTableFieldId="3" dataDxfId="47"/>
    <tableColumn id="4" xr3:uid="{E09A2263-AFF5-4DE2-B2D8-B1166550289B}" uniqueName="4" name="Column4" queryTableFieldId="4" dataDxfId="46"/>
    <tableColumn id="5" xr3:uid="{CB86B399-AD86-45B0-9790-ED10FFFECCA6}" uniqueName="5" name="Column5" queryTableFieldId="5" dataDxfId="45"/>
    <tableColumn id="6" xr3:uid="{1FA917F5-A734-41F3-A427-C404CF455BEA}" uniqueName="6" name="Column6" queryTableFieldId="6" dataDxfId="44"/>
    <tableColumn id="7" xr3:uid="{4FEEFE9D-9023-4D46-882E-94D61C74095E}" uniqueName="7" name="Column7" queryTableFieldId="7" dataDxfId="43"/>
    <tableColumn id="8" xr3:uid="{468A0A2D-BA3C-47B4-B5E7-0CA0102D70AC}" uniqueName="8" name="Column8" queryTableFieldId="8" dataDxfId="42"/>
    <tableColumn id="9" xr3:uid="{4D5DB982-BF91-43B3-AD4E-7BDBA2E33DDB}" uniqueName="9" name="Column9" queryTableFieldId="9" dataDxfId="41"/>
    <tableColumn id="10" xr3:uid="{B5709F4A-044F-457A-A186-D7E87F3CB477}" uniqueName="10" name="Column10" queryTableFieldId="10" dataDxf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58A2-A348-4A89-AA84-5912BB17DB34}">
  <dimension ref="A1:O45"/>
  <sheetViews>
    <sheetView workbookViewId="0">
      <selection activeCell="N2" sqref="N2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28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465</v>
      </c>
      <c r="N2">
        <f>COUNTIFS(B:B, "CLOSED", C:C, "CLOSED")</f>
        <v>14</v>
      </c>
      <c r="O2">
        <f>COUNTIFS(B:B, "OPEN", C:C, "OPEN")</f>
        <v>21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391</v>
      </c>
      <c r="I3" s="1" t="s">
        <v>392</v>
      </c>
      <c r="J3" s="1" t="s">
        <v>26</v>
      </c>
      <c r="M3" s="2" t="s">
        <v>466</v>
      </c>
      <c r="N3">
        <f>COUNTIFS(B:B, "CLOSED")</f>
        <v>18</v>
      </c>
      <c r="O3">
        <f>COUNTIFS(B:B, "OPEN")</f>
        <v>25</v>
      </c>
    </row>
    <row r="4" spans="1:15" x14ac:dyDescent="0.25">
      <c r="A4" s="1" t="s">
        <v>27</v>
      </c>
      <c r="B4" s="1" t="s">
        <v>21</v>
      </c>
      <c r="C4" s="1" t="s">
        <v>28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393</v>
      </c>
      <c r="I4" s="1" t="s">
        <v>320</v>
      </c>
      <c r="J4" s="1" t="s">
        <v>26</v>
      </c>
      <c r="M4" s="2" t="s">
        <v>467</v>
      </c>
      <c r="N4">
        <f>N2/N3</f>
        <v>0.77777777777777779</v>
      </c>
      <c r="O4">
        <f>O2/O3</f>
        <v>0.84</v>
      </c>
    </row>
    <row r="5" spans="1:15" x14ac:dyDescent="0.25">
      <c r="A5" s="1" t="s">
        <v>31</v>
      </c>
      <c r="B5" s="1" t="s">
        <v>21</v>
      </c>
      <c r="C5" s="1" t="s">
        <v>28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394</v>
      </c>
      <c r="I5" s="1" t="s">
        <v>395</v>
      </c>
      <c r="J5" s="1" t="s">
        <v>26</v>
      </c>
    </row>
    <row r="6" spans="1:15" x14ac:dyDescent="0.25">
      <c r="A6" s="1" t="s">
        <v>34</v>
      </c>
      <c r="B6" s="1" t="s">
        <v>21</v>
      </c>
      <c r="C6" s="1" t="s">
        <v>28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396</v>
      </c>
      <c r="I6" s="1" t="s">
        <v>397</v>
      </c>
      <c r="J6" s="1" t="s">
        <v>26</v>
      </c>
    </row>
    <row r="7" spans="1:15" x14ac:dyDescent="0.25">
      <c r="A7" s="1" t="s">
        <v>37</v>
      </c>
      <c r="B7" s="1" t="s">
        <v>21</v>
      </c>
      <c r="C7" s="1" t="s">
        <v>21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398</v>
      </c>
      <c r="I7" s="1" t="s">
        <v>399</v>
      </c>
      <c r="J7" s="1" t="s">
        <v>26</v>
      </c>
    </row>
    <row r="8" spans="1:15" x14ac:dyDescent="0.25">
      <c r="A8" s="1" t="s">
        <v>40</v>
      </c>
      <c r="B8" s="1" t="s">
        <v>21</v>
      </c>
      <c r="C8" s="1" t="s">
        <v>21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400</v>
      </c>
      <c r="I8" s="1" t="s">
        <v>401</v>
      </c>
      <c r="J8" s="1" t="s">
        <v>26</v>
      </c>
    </row>
    <row r="9" spans="1:15" x14ac:dyDescent="0.25">
      <c r="A9" s="1" t="s">
        <v>43</v>
      </c>
      <c r="B9" s="1" t="s">
        <v>21</v>
      </c>
      <c r="C9" s="1" t="s">
        <v>21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402</v>
      </c>
      <c r="I9" s="1" t="s">
        <v>403</v>
      </c>
      <c r="J9" s="1" t="s">
        <v>26</v>
      </c>
    </row>
    <row r="10" spans="1:15" x14ac:dyDescent="0.25">
      <c r="A10" s="1" t="s">
        <v>46</v>
      </c>
      <c r="B10" s="1" t="s">
        <v>21</v>
      </c>
      <c r="C10" s="1" t="s">
        <v>21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246</v>
      </c>
      <c r="I10" s="1" t="s">
        <v>404</v>
      </c>
      <c r="J10" s="1" t="s">
        <v>26</v>
      </c>
    </row>
    <row r="11" spans="1:15" x14ac:dyDescent="0.25">
      <c r="A11" s="1" t="s">
        <v>49</v>
      </c>
      <c r="B11" s="1" t="s">
        <v>21</v>
      </c>
      <c r="C11" s="1" t="s">
        <v>21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405</v>
      </c>
      <c r="I11" s="1" t="s">
        <v>406</v>
      </c>
      <c r="J11" s="1" t="s">
        <v>26</v>
      </c>
    </row>
    <row r="12" spans="1:15" x14ac:dyDescent="0.25">
      <c r="A12" s="1" t="s">
        <v>52</v>
      </c>
      <c r="B12" s="1" t="s">
        <v>21</v>
      </c>
      <c r="C12" s="1" t="s">
        <v>21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407</v>
      </c>
      <c r="I12" s="1" t="s">
        <v>408</v>
      </c>
      <c r="J12" s="1" t="s">
        <v>26</v>
      </c>
    </row>
    <row r="13" spans="1:15" x14ac:dyDescent="0.25">
      <c r="A13" s="1" t="s">
        <v>55</v>
      </c>
      <c r="B13" s="1" t="s">
        <v>21</v>
      </c>
      <c r="C13" s="1" t="s">
        <v>21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409</v>
      </c>
      <c r="I13" s="1" t="s">
        <v>385</v>
      </c>
      <c r="J13" s="1" t="s">
        <v>26</v>
      </c>
    </row>
    <row r="14" spans="1:15" x14ac:dyDescent="0.25">
      <c r="A14" s="1" t="s">
        <v>58</v>
      </c>
      <c r="B14" s="1" t="s">
        <v>21</v>
      </c>
      <c r="C14" s="1" t="s">
        <v>28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410</v>
      </c>
      <c r="I14" s="1" t="s">
        <v>411</v>
      </c>
      <c r="J14" s="1" t="s">
        <v>26</v>
      </c>
    </row>
    <row r="15" spans="1:15" x14ac:dyDescent="0.25">
      <c r="A15" s="1" t="s">
        <v>61</v>
      </c>
      <c r="B15" s="1" t="s">
        <v>21</v>
      </c>
      <c r="C15" s="1" t="s">
        <v>21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412</v>
      </c>
      <c r="I15" s="1" t="s">
        <v>413</v>
      </c>
      <c r="J15" s="1" t="s">
        <v>26</v>
      </c>
    </row>
    <row r="16" spans="1:15" x14ac:dyDescent="0.25">
      <c r="A16" s="1" t="s">
        <v>64</v>
      </c>
      <c r="B16" s="1" t="s">
        <v>21</v>
      </c>
      <c r="C16" s="1" t="s">
        <v>21</v>
      </c>
      <c r="D16" s="1" t="s">
        <v>23</v>
      </c>
      <c r="E16" s="1" t="s">
        <v>23</v>
      </c>
      <c r="F16" s="1" t="s">
        <v>23</v>
      </c>
      <c r="G16" s="1" t="s">
        <v>23</v>
      </c>
      <c r="H16" s="1" t="s">
        <v>414</v>
      </c>
      <c r="I16" s="1" t="s">
        <v>415</v>
      </c>
      <c r="J16" s="1" t="s">
        <v>26</v>
      </c>
    </row>
    <row r="17" spans="1:10" x14ac:dyDescent="0.25">
      <c r="A17" s="1" t="s">
        <v>67</v>
      </c>
      <c r="B17" s="1" t="s">
        <v>21</v>
      </c>
      <c r="C17" s="1" t="s">
        <v>21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416</v>
      </c>
      <c r="I17" s="1" t="s">
        <v>417</v>
      </c>
      <c r="J17" s="1" t="s">
        <v>26</v>
      </c>
    </row>
    <row r="18" spans="1:10" x14ac:dyDescent="0.25">
      <c r="A18" s="1" t="s">
        <v>70</v>
      </c>
      <c r="B18" s="1" t="s">
        <v>21</v>
      </c>
      <c r="C18" s="1" t="s">
        <v>21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418</v>
      </c>
      <c r="I18" s="1" t="s">
        <v>419</v>
      </c>
      <c r="J18" s="1" t="s">
        <v>26</v>
      </c>
    </row>
    <row r="19" spans="1:10" x14ac:dyDescent="0.25">
      <c r="A19" s="1" t="s">
        <v>73</v>
      </c>
      <c r="B19" s="1" t="s">
        <v>21</v>
      </c>
      <c r="C19" s="1" t="s">
        <v>21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248</v>
      </c>
      <c r="I19" s="1" t="s">
        <v>420</v>
      </c>
      <c r="J19" s="1" t="s">
        <v>26</v>
      </c>
    </row>
    <row r="20" spans="1:10" x14ac:dyDescent="0.25">
      <c r="A20" s="1" t="s">
        <v>76</v>
      </c>
      <c r="B20" s="1" t="s">
        <v>21</v>
      </c>
      <c r="C20" s="1" t="s">
        <v>21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343</v>
      </c>
      <c r="I20" s="1" t="s">
        <v>246</v>
      </c>
      <c r="J20" s="1" t="s">
        <v>26</v>
      </c>
    </row>
    <row r="21" spans="1:10" x14ac:dyDescent="0.25">
      <c r="A21" s="1" t="s">
        <v>79</v>
      </c>
      <c r="B21" s="1" t="s">
        <v>28</v>
      </c>
      <c r="C21" s="1" t="s">
        <v>28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421</v>
      </c>
      <c r="I21" s="1" t="s">
        <v>422</v>
      </c>
      <c r="J21" s="1" t="s">
        <v>26</v>
      </c>
    </row>
    <row r="22" spans="1:10" x14ac:dyDescent="0.25">
      <c r="A22" s="1" t="s">
        <v>82</v>
      </c>
      <c r="B22" s="1" t="s">
        <v>28</v>
      </c>
      <c r="C22" s="1" t="s">
        <v>28</v>
      </c>
      <c r="D22" s="1" t="s">
        <v>23</v>
      </c>
      <c r="E22" s="1" t="s">
        <v>23</v>
      </c>
      <c r="F22" s="1" t="s">
        <v>23</v>
      </c>
      <c r="G22" s="1" t="s">
        <v>23</v>
      </c>
      <c r="H22" s="1" t="s">
        <v>423</v>
      </c>
      <c r="I22" s="1" t="s">
        <v>211</v>
      </c>
      <c r="J22" s="1" t="s">
        <v>26</v>
      </c>
    </row>
    <row r="23" spans="1:10" x14ac:dyDescent="0.25">
      <c r="A23" s="1" t="s">
        <v>85</v>
      </c>
      <c r="B23" s="1" t="s">
        <v>28</v>
      </c>
      <c r="C23" s="1" t="s">
        <v>28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424</v>
      </c>
      <c r="I23" s="1" t="s">
        <v>425</v>
      </c>
      <c r="J23" s="1" t="s">
        <v>26</v>
      </c>
    </row>
    <row r="24" spans="1:10" x14ac:dyDescent="0.25">
      <c r="A24" s="1" t="s">
        <v>88</v>
      </c>
      <c r="B24" s="1" t="s">
        <v>28</v>
      </c>
      <c r="C24" s="1" t="s">
        <v>21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205</v>
      </c>
      <c r="I24" s="1" t="s">
        <v>426</v>
      </c>
      <c r="J24" s="1" t="s">
        <v>26</v>
      </c>
    </row>
    <row r="25" spans="1:10" x14ac:dyDescent="0.25">
      <c r="A25" s="1" t="s">
        <v>91</v>
      </c>
      <c r="B25" s="1" t="s">
        <v>28</v>
      </c>
      <c r="C25" s="1" t="s">
        <v>28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427</v>
      </c>
      <c r="I25" s="1" t="s">
        <v>428</v>
      </c>
      <c r="J25" s="1" t="s">
        <v>26</v>
      </c>
    </row>
    <row r="26" spans="1:10" x14ac:dyDescent="0.25">
      <c r="A26" s="1" t="s">
        <v>94</v>
      </c>
      <c r="B26" s="1" t="s">
        <v>28</v>
      </c>
      <c r="C26" s="1" t="s">
        <v>28</v>
      </c>
      <c r="D26" s="1" t="s">
        <v>23</v>
      </c>
      <c r="E26" s="1" t="s">
        <v>23</v>
      </c>
      <c r="F26" s="1" t="s">
        <v>23</v>
      </c>
      <c r="G26" s="1" t="s">
        <v>23</v>
      </c>
      <c r="H26" s="1" t="s">
        <v>429</v>
      </c>
      <c r="I26" s="1" t="s">
        <v>430</v>
      </c>
      <c r="J26" s="1" t="s">
        <v>26</v>
      </c>
    </row>
    <row r="27" spans="1:10" x14ac:dyDescent="0.25">
      <c r="A27" s="1" t="s">
        <v>97</v>
      </c>
      <c r="B27" s="1" t="s">
        <v>28</v>
      </c>
      <c r="C27" s="1" t="s">
        <v>28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431</v>
      </c>
      <c r="I27" s="1" t="s">
        <v>432</v>
      </c>
      <c r="J27" s="1" t="s">
        <v>26</v>
      </c>
    </row>
    <row r="28" spans="1:10" x14ac:dyDescent="0.25">
      <c r="A28" s="1" t="s">
        <v>100</v>
      </c>
      <c r="B28" s="1" t="s">
        <v>28</v>
      </c>
      <c r="C28" s="1" t="s">
        <v>28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433</v>
      </c>
      <c r="I28" s="1" t="s">
        <v>434</v>
      </c>
      <c r="J28" s="1" t="s">
        <v>26</v>
      </c>
    </row>
    <row r="29" spans="1:10" x14ac:dyDescent="0.25">
      <c r="A29" s="1" t="s">
        <v>103</v>
      </c>
      <c r="B29" s="1" t="s">
        <v>28</v>
      </c>
      <c r="C29" s="1" t="s">
        <v>28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435</v>
      </c>
      <c r="I29" s="1" t="s">
        <v>436</v>
      </c>
      <c r="J29" s="1" t="s">
        <v>26</v>
      </c>
    </row>
    <row r="30" spans="1:10" x14ac:dyDescent="0.25">
      <c r="A30" s="1" t="s">
        <v>106</v>
      </c>
      <c r="B30" s="1" t="s">
        <v>28</v>
      </c>
      <c r="C30" s="1" t="s">
        <v>28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279</v>
      </c>
      <c r="I30" s="1" t="s">
        <v>437</v>
      </c>
      <c r="J30" s="1" t="s">
        <v>26</v>
      </c>
    </row>
    <row r="31" spans="1:10" x14ac:dyDescent="0.25">
      <c r="A31" s="1" t="s">
        <v>109</v>
      </c>
      <c r="B31" s="1" t="s">
        <v>28</v>
      </c>
      <c r="C31" s="1" t="s">
        <v>28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438</v>
      </c>
      <c r="I31" s="1" t="s">
        <v>439</v>
      </c>
      <c r="J31" s="1" t="s">
        <v>26</v>
      </c>
    </row>
    <row r="32" spans="1:10" x14ac:dyDescent="0.25">
      <c r="A32" s="1" t="s">
        <v>112</v>
      </c>
      <c r="B32" s="1" t="s">
        <v>28</v>
      </c>
      <c r="C32" s="1" t="s">
        <v>28</v>
      </c>
      <c r="D32" s="1" t="s">
        <v>23</v>
      </c>
      <c r="E32" s="1" t="s">
        <v>23</v>
      </c>
      <c r="F32" s="1" t="s">
        <v>23</v>
      </c>
      <c r="G32" s="1" t="s">
        <v>23</v>
      </c>
      <c r="H32" s="1" t="s">
        <v>440</v>
      </c>
      <c r="I32" s="1" t="s">
        <v>441</v>
      </c>
      <c r="J32" s="1" t="s">
        <v>26</v>
      </c>
    </row>
    <row r="33" spans="1:10" x14ac:dyDescent="0.25">
      <c r="A33" s="1" t="s">
        <v>115</v>
      </c>
      <c r="B33" s="1" t="s">
        <v>28</v>
      </c>
      <c r="C33" s="1" t="s">
        <v>28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442</v>
      </c>
      <c r="I33" s="1" t="s">
        <v>92</v>
      </c>
      <c r="J33" s="1" t="s">
        <v>26</v>
      </c>
    </row>
    <row r="34" spans="1:10" x14ac:dyDescent="0.25">
      <c r="A34" s="1" t="s">
        <v>118</v>
      </c>
      <c r="B34" s="1" t="s">
        <v>28</v>
      </c>
      <c r="C34" s="1" t="s">
        <v>28</v>
      </c>
      <c r="D34" s="1" t="s">
        <v>23</v>
      </c>
      <c r="E34" s="1" t="s">
        <v>23</v>
      </c>
      <c r="F34" s="1" t="s">
        <v>23</v>
      </c>
      <c r="G34" s="1" t="s">
        <v>23</v>
      </c>
      <c r="H34" s="1" t="s">
        <v>443</v>
      </c>
      <c r="I34" s="1" t="s">
        <v>444</v>
      </c>
      <c r="J34" s="1" t="s">
        <v>26</v>
      </c>
    </row>
    <row r="35" spans="1:10" x14ac:dyDescent="0.25">
      <c r="A35" s="1" t="s">
        <v>121</v>
      </c>
      <c r="B35" s="1" t="s">
        <v>28</v>
      </c>
      <c r="C35" s="1" t="s">
        <v>21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445</v>
      </c>
      <c r="I35" s="1" t="s">
        <v>446</v>
      </c>
      <c r="J35" s="1" t="s">
        <v>26</v>
      </c>
    </row>
    <row r="36" spans="1:10" x14ac:dyDescent="0.25">
      <c r="A36" s="1" t="s">
        <v>124</v>
      </c>
      <c r="B36" s="1" t="s">
        <v>28</v>
      </c>
      <c r="C36" s="1" t="s">
        <v>21</v>
      </c>
      <c r="D36" s="1" t="s">
        <v>23</v>
      </c>
      <c r="E36" s="1" t="s">
        <v>23</v>
      </c>
      <c r="F36" s="1" t="s">
        <v>23</v>
      </c>
      <c r="G36" s="1" t="s">
        <v>23</v>
      </c>
      <c r="H36" s="1" t="s">
        <v>447</v>
      </c>
      <c r="I36" s="1" t="s">
        <v>448</v>
      </c>
      <c r="J36" s="1" t="s">
        <v>26</v>
      </c>
    </row>
    <row r="37" spans="1:10" x14ac:dyDescent="0.25">
      <c r="A37" s="1" t="s">
        <v>127</v>
      </c>
      <c r="B37" s="1" t="s">
        <v>28</v>
      </c>
      <c r="C37" s="1" t="s">
        <v>28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449</v>
      </c>
      <c r="I37" s="1" t="s">
        <v>81</v>
      </c>
      <c r="J37" s="1" t="s">
        <v>26</v>
      </c>
    </row>
    <row r="38" spans="1:10" x14ac:dyDescent="0.25">
      <c r="A38" s="1" t="s">
        <v>130</v>
      </c>
      <c r="B38" s="1" t="s">
        <v>28</v>
      </c>
      <c r="C38" s="1" t="s">
        <v>28</v>
      </c>
      <c r="D38" s="1" t="s">
        <v>23</v>
      </c>
      <c r="E38" s="1" t="s">
        <v>23</v>
      </c>
      <c r="F38" s="1" t="s">
        <v>23</v>
      </c>
      <c r="G38" s="1" t="s">
        <v>23</v>
      </c>
      <c r="H38" s="1" t="s">
        <v>450</v>
      </c>
      <c r="I38" s="1" t="s">
        <v>451</v>
      </c>
      <c r="J38" s="1" t="s">
        <v>26</v>
      </c>
    </row>
    <row r="39" spans="1:10" x14ac:dyDescent="0.25">
      <c r="A39" s="1" t="s">
        <v>133</v>
      </c>
      <c r="B39" s="1" t="s">
        <v>28</v>
      </c>
      <c r="C39" s="1" t="s">
        <v>21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452</v>
      </c>
      <c r="I39" s="1" t="s">
        <v>453</v>
      </c>
      <c r="J39" s="1" t="s">
        <v>26</v>
      </c>
    </row>
    <row r="40" spans="1:10" x14ac:dyDescent="0.25">
      <c r="A40" s="1" t="s">
        <v>136</v>
      </c>
      <c r="B40" s="1" t="s">
        <v>28</v>
      </c>
      <c r="C40" s="1" t="s">
        <v>28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393</v>
      </c>
      <c r="I40" s="1" t="s">
        <v>454</v>
      </c>
      <c r="J40" s="1" t="s">
        <v>26</v>
      </c>
    </row>
    <row r="41" spans="1:10" x14ac:dyDescent="0.25">
      <c r="A41" s="1" t="s">
        <v>139</v>
      </c>
      <c r="B41" s="1" t="s">
        <v>28</v>
      </c>
      <c r="C41" s="1" t="s">
        <v>28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455</v>
      </c>
      <c r="I41" s="1" t="s">
        <v>456</v>
      </c>
      <c r="J41" s="1" t="s">
        <v>26</v>
      </c>
    </row>
    <row r="42" spans="1:10" x14ac:dyDescent="0.25">
      <c r="A42" s="1" t="s">
        <v>142</v>
      </c>
      <c r="B42" s="1" t="s">
        <v>28</v>
      </c>
      <c r="C42" s="1" t="s">
        <v>28</v>
      </c>
      <c r="D42" s="1" t="s">
        <v>23</v>
      </c>
      <c r="E42" s="1" t="s">
        <v>23</v>
      </c>
      <c r="F42" s="1" t="s">
        <v>23</v>
      </c>
      <c r="G42" s="1" t="s">
        <v>23</v>
      </c>
      <c r="H42" s="1" t="s">
        <v>457</v>
      </c>
      <c r="I42" s="1" t="s">
        <v>458</v>
      </c>
      <c r="J42" s="1" t="s">
        <v>26</v>
      </c>
    </row>
    <row r="43" spans="1:10" x14ac:dyDescent="0.25">
      <c r="A43" s="1" t="s">
        <v>145</v>
      </c>
      <c r="B43" s="1" t="s">
        <v>28</v>
      </c>
      <c r="C43" s="1" t="s">
        <v>28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459</v>
      </c>
      <c r="I43" s="1" t="s">
        <v>460</v>
      </c>
      <c r="J43" s="1" t="s">
        <v>26</v>
      </c>
    </row>
    <row r="44" spans="1:10" x14ac:dyDescent="0.25">
      <c r="A44" s="1" t="s">
        <v>148</v>
      </c>
      <c r="B44" s="1" t="s">
        <v>28</v>
      </c>
      <c r="C44" s="1" t="s">
        <v>28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461</v>
      </c>
      <c r="I44" s="1" t="s">
        <v>462</v>
      </c>
      <c r="J44" s="1" t="s">
        <v>26</v>
      </c>
    </row>
    <row r="45" spans="1:10" x14ac:dyDescent="0.25">
      <c r="A45" s="1" t="s">
        <v>151</v>
      </c>
      <c r="B45" s="1" t="s">
        <v>28</v>
      </c>
      <c r="C45" s="1" t="s">
        <v>28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463</v>
      </c>
      <c r="I45" s="1" t="s">
        <v>464</v>
      </c>
      <c r="J45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8AB4-50A2-47A4-8E82-81F6FB0A05C4}">
  <dimension ref="A1:O45"/>
  <sheetViews>
    <sheetView workbookViewId="0">
      <selection activeCell="N2" sqref="N2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28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465</v>
      </c>
      <c r="N2">
        <f>COUNTIFS(B:B, "CLOSED", C:C, "CLOSED")</f>
        <v>15</v>
      </c>
      <c r="O2">
        <f>COUNTIFS(B:B, "OPEN", C:C, "OPEN")</f>
        <v>21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23</v>
      </c>
      <c r="E3" s="1" t="s">
        <v>23</v>
      </c>
      <c r="F3" s="1" t="s">
        <v>22</v>
      </c>
      <c r="G3" s="1" t="s">
        <v>23</v>
      </c>
      <c r="H3" s="1" t="s">
        <v>312</v>
      </c>
      <c r="I3" s="1" t="s">
        <v>313</v>
      </c>
      <c r="J3" s="1" t="s">
        <v>26</v>
      </c>
      <c r="M3" s="2" t="s">
        <v>466</v>
      </c>
      <c r="N3">
        <f>COUNTIFS(B:B, "CLOSED")</f>
        <v>18</v>
      </c>
      <c r="O3">
        <f>COUNTIFS(B:B, "OPEN")</f>
        <v>25</v>
      </c>
    </row>
    <row r="4" spans="1:15" x14ac:dyDescent="0.25">
      <c r="A4" s="1" t="s">
        <v>27</v>
      </c>
      <c r="B4" s="1" t="s">
        <v>21</v>
      </c>
      <c r="C4" s="1" t="s">
        <v>28</v>
      </c>
      <c r="D4" s="1" t="s">
        <v>23</v>
      </c>
      <c r="E4" s="1" t="s">
        <v>23</v>
      </c>
      <c r="F4" s="1" t="s">
        <v>22</v>
      </c>
      <c r="G4" s="1" t="s">
        <v>23</v>
      </c>
      <c r="H4" s="1" t="s">
        <v>204</v>
      </c>
      <c r="I4" s="1" t="s">
        <v>314</v>
      </c>
      <c r="J4" s="1" t="s">
        <v>26</v>
      </c>
      <c r="M4" s="2" t="s">
        <v>467</v>
      </c>
      <c r="N4">
        <f>N2/N3</f>
        <v>0.83333333333333337</v>
      </c>
      <c r="O4">
        <f>O2/O3</f>
        <v>0.84</v>
      </c>
    </row>
    <row r="5" spans="1:15" x14ac:dyDescent="0.25">
      <c r="A5" s="1" t="s">
        <v>31</v>
      </c>
      <c r="B5" s="1" t="s">
        <v>21</v>
      </c>
      <c r="C5" s="1" t="s">
        <v>21</v>
      </c>
      <c r="D5" s="1" t="s">
        <v>23</v>
      </c>
      <c r="E5" s="1" t="s">
        <v>23</v>
      </c>
      <c r="F5" s="1" t="s">
        <v>22</v>
      </c>
      <c r="G5" s="1" t="s">
        <v>23</v>
      </c>
      <c r="H5" s="1" t="s">
        <v>315</v>
      </c>
      <c r="I5" s="1" t="s">
        <v>316</v>
      </c>
      <c r="J5" s="1" t="s">
        <v>26</v>
      </c>
    </row>
    <row r="6" spans="1:15" x14ac:dyDescent="0.25">
      <c r="A6" s="1" t="s">
        <v>34</v>
      </c>
      <c r="B6" s="1" t="s">
        <v>21</v>
      </c>
      <c r="C6" s="1" t="s">
        <v>28</v>
      </c>
      <c r="D6" s="1" t="s">
        <v>23</v>
      </c>
      <c r="E6" s="1" t="s">
        <v>23</v>
      </c>
      <c r="F6" s="1" t="s">
        <v>22</v>
      </c>
      <c r="G6" s="1" t="s">
        <v>23</v>
      </c>
      <c r="H6" s="1" t="s">
        <v>317</v>
      </c>
      <c r="I6" s="1" t="s">
        <v>277</v>
      </c>
      <c r="J6" s="1" t="s">
        <v>26</v>
      </c>
    </row>
    <row r="7" spans="1:15" x14ac:dyDescent="0.25">
      <c r="A7" s="1" t="s">
        <v>37</v>
      </c>
      <c r="B7" s="1" t="s">
        <v>21</v>
      </c>
      <c r="C7" s="1" t="s">
        <v>21</v>
      </c>
      <c r="D7" s="1" t="s">
        <v>23</v>
      </c>
      <c r="E7" s="1" t="s">
        <v>23</v>
      </c>
      <c r="F7" s="1" t="s">
        <v>22</v>
      </c>
      <c r="G7" s="1" t="s">
        <v>23</v>
      </c>
      <c r="H7" s="1" t="s">
        <v>318</v>
      </c>
      <c r="I7" s="1" t="s">
        <v>319</v>
      </c>
      <c r="J7" s="1" t="s">
        <v>26</v>
      </c>
    </row>
    <row r="8" spans="1:15" x14ac:dyDescent="0.25">
      <c r="A8" s="1" t="s">
        <v>40</v>
      </c>
      <c r="B8" s="1" t="s">
        <v>21</v>
      </c>
      <c r="C8" s="1" t="s">
        <v>21</v>
      </c>
      <c r="D8" s="1" t="s">
        <v>23</v>
      </c>
      <c r="E8" s="1" t="s">
        <v>23</v>
      </c>
      <c r="F8" s="1" t="s">
        <v>22</v>
      </c>
      <c r="G8" s="1" t="s">
        <v>23</v>
      </c>
      <c r="H8" s="1" t="s">
        <v>320</v>
      </c>
      <c r="I8" s="1" t="s">
        <v>321</v>
      </c>
      <c r="J8" s="1" t="s">
        <v>26</v>
      </c>
    </row>
    <row r="9" spans="1:15" x14ac:dyDescent="0.25">
      <c r="A9" s="1" t="s">
        <v>43</v>
      </c>
      <c r="B9" s="1" t="s">
        <v>21</v>
      </c>
      <c r="C9" s="1" t="s">
        <v>21</v>
      </c>
      <c r="D9" s="1" t="s">
        <v>23</v>
      </c>
      <c r="E9" s="1" t="s">
        <v>23</v>
      </c>
      <c r="F9" s="1" t="s">
        <v>22</v>
      </c>
      <c r="G9" s="1" t="s">
        <v>23</v>
      </c>
      <c r="H9" s="1" t="s">
        <v>322</v>
      </c>
      <c r="I9" s="1" t="s">
        <v>323</v>
      </c>
      <c r="J9" s="1" t="s">
        <v>26</v>
      </c>
    </row>
    <row r="10" spans="1:15" x14ac:dyDescent="0.25">
      <c r="A10" s="1" t="s">
        <v>46</v>
      </c>
      <c r="B10" s="1" t="s">
        <v>21</v>
      </c>
      <c r="C10" s="1" t="s">
        <v>21</v>
      </c>
      <c r="D10" s="1" t="s">
        <v>23</v>
      </c>
      <c r="E10" s="1" t="s">
        <v>23</v>
      </c>
      <c r="F10" s="1" t="s">
        <v>22</v>
      </c>
      <c r="G10" s="1" t="s">
        <v>23</v>
      </c>
      <c r="H10" s="1" t="s">
        <v>324</v>
      </c>
      <c r="I10" s="1" t="s">
        <v>325</v>
      </c>
      <c r="J10" s="1" t="s">
        <v>26</v>
      </c>
    </row>
    <row r="11" spans="1:15" x14ac:dyDescent="0.25">
      <c r="A11" s="1" t="s">
        <v>49</v>
      </c>
      <c r="B11" s="1" t="s">
        <v>21</v>
      </c>
      <c r="C11" s="1" t="s">
        <v>21</v>
      </c>
      <c r="D11" s="1" t="s">
        <v>23</v>
      </c>
      <c r="E11" s="1" t="s">
        <v>23</v>
      </c>
      <c r="F11" s="1" t="s">
        <v>22</v>
      </c>
      <c r="G11" s="1" t="s">
        <v>23</v>
      </c>
      <c r="H11" s="1" t="s">
        <v>326</v>
      </c>
      <c r="I11" s="1" t="s">
        <v>327</v>
      </c>
      <c r="J11" s="1" t="s">
        <v>26</v>
      </c>
    </row>
    <row r="12" spans="1:15" x14ac:dyDescent="0.25">
      <c r="A12" s="1" t="s">
        <v>52</v>
      </c>
      <c r="B12" s="1" t="s">
        <v>21</v>
      </c>
      <c r="C12" s="1" t="s">
        <v>28</v>
      </c>
      <c r="D12" s="1" t="s">
        <v>23</v>
      </c>
      <c r="E12" s="1" t="s">
        <v>23</v>
      </c>
      <c r="F12" s="1" t="s">
        <v>22</v>
      </c>
      <c r="G12" s="1" t="s">
        <v>23</v>
      </c>
      <c r="H12" s="1" t="s">
        <v>328</v>
      </c>
      <c r="I12" s="1" t="s">
        <v>329</v>
      </c>
      <c r="J12" s="1" t="s">
        <v>26</v>
      </c>
    </row>
    <row r="13" spans="1:15" x14ac:dyDescent="0.25">
      <c r="A13" s="1" t="s">
        <v>55</v>
      </c>
      <c r="B13" s="1" t="s">
        <v>21</v>
      </c>
      <c r="C13" s="1" t="s">
        <v>21</v>
      </c>
      <c r="D13" s="1" t="s">
        <v>23</v>
      </c>
      <c r="E13" s="1" t="s">
        <v>23</v>
      </c>
      <c r="F13" s="1" t="s">
        <v>22</v>
      </c>
      <c r="G13" s="1" t="s">
        <v>23</v>
      </c>
      <c r="H13" s="1" t="s">
        <v>162</v>
      </c>
      <c r="I13" s="1" t="s">
        <v>330</v>
      </c>
      <c r="J13" s="1" t="s">
        <v>26</v>
      </c>
    </row>
    <row r="14" spans="1:15" x14ac:dyDescent="0.25">
      <c r="A14" s="1" t="s">
        <v>58</v>
      </c>
      <c r="B14" s="1" t="s">
        <v>21</v>
      </c>
      <c r="C14" s="1" t="s">
        <v>21</v>
      </c>
      <c r="D14" s="1" t="s">
        <v>23</v>
      </c>
      <c r="E14" s="1" t="s">
        <v>23</v>
      </c>
      <c r="F14" s="1" t="s">
        <v>22</v>
      </c>
      <c r="G14" s="1" t="s">
        <v>23</v>
      </c>
      <c r="H14" s="1" t="s">
        <v>331</v>
      </c>
      <c r="I14" s="1" t="s">
        <v>332</v>
      </c>
      <c r="J14" s="1" t="s">
        <v>26</v>
      </c>
    </row>
    <row r="15" spans="1:15" x14ac:dyDescent="0.25">
      <c r="A15" s="1" t="s">
        <v>61</v>
      </c>
      <c r="B15" s="1" t="s">
        <v>21</v>
      </c>
      <c r="C15" s="1" t="s">
        <v>21</v>
      </c>
      <c r="D15" s="1" t="s">
        <v>23</v>
      </c>
      <c r="E15" s="1" t="s">
        <v>23</v>
      </c>
      <c r="F15" s="1" t="s">
        <v>22</v>
      </c>
      <c r="G15" s="1" t="s">
        <v>23</v>
      </c>
      <c r="H15" s="1" t="s">
        <v>333</v>
      </c>
      <c r="I15" s="1" t="s">
        <v>334</v>
      </c>
      <c r="J15" s="1" t="s">
        <v>26</v>
      </c>
    </row>
    <row r="16" spans="1:15" x14ac:dyDescent="0.25">
      <c r="A16" s="1" t="s">
        <v>64</v>
      </c>
      <c r="B16" s="1" t="s">
        <v>21</v>
      </c>
      <c r="C16" s="1" t="s">
        <v>21</v>
      </c>
      <c r="D16" s="1" t="s">
        <v>23</v>
      </c>
      <c r="E16" s="1" t="s">
        <v>23</v>
      </c>
      <c r="F16" s="1" t="s">
        <v>22</v>
      </c>
      <c r="G16" s="1" t="s">
        <v>23</v>
      </c>
      <c r="H16" s="1" t="s">
        <v>335</v>
      </c>
      <c r="I16" s="1" t="s">
        <v>336</v>
      </c>
      <c r="J16" s="1" t="s">
        <v>26</v>
      </c>
    </row>
    <row r="17" spans="1:10" x14ac:dyDescent="0.25">
      <c r="A17" s="1" t="s">
        <v>67</v>
      </c>
      <c r="B17" s="1" t="s">
        <v>21</v>
      </c>
      <c r="C17" s="1" t="s">
        <v>21</v>
      </c>
      <c r="D17" s="1" t="s">
        <v>23</v>
      </c>
      <c r="E17" s="1" t="s">
        <v>23</v>
      </c>
      <c r="F17" s="1" t="s">
        <v>22</v>
      </c>
      <c r="G17" s="1" t="s">
        <v>23</v>
      </c>
      <c r="H17" s="1" t="s">
        <v>337</v>
      </c>
      <c r="I17" s="1" t="s">
        <v>338</v>
      </c>
      <c r="J17" s="1" t="s">
        <v>26</v>
      </c>
    </row>
    <row r="18" spans="1:10" x14ac:dyDescent="0.25">
      <c r="A18" s="1" t="s">
        <v>70</v>
      </c>
      <c r="B18" s="1" t="s">
        <v>21</v>
      </c>
      <c r="C18" s="1" t="s">
        <v>21</v>
      </c>
      <c r="D18" s="1" t="s">
        <v>23</v>
      </c>
      <c r="E18" s="1" t="s">
        <v>23</v>
      </c>
      <c r="F18" s="1" t="s">
        <v>22</v>
      </c>
      <c r="G18" s="1" t="s">
        <v>23</v>
      </c>
      <c r="H18" s="1" t="s">
        <v>339</v>
      </c>
      <c r="I18" s="1" t="s">
        <v>340</v>
      </c>
      <c r="J18" s="1" t="s">
        <v>26</v>
      </c>
    </row>
    <row r="19" spans="1:10" x14ac:dyDescent="0.25">
      <c r="A19" s="1" t="s">
        <v>73</v>
      </c>
      <c r="B19" s="1" t="s">
        <v>21</v>
      </c>
      <c r="C19" s="1" t="s">
        <v>21</v>
      </c>
      <c r="D19" s="1" t="s">
        <v>23</v>
      </c>
      <c r="E19" s="1" t="s">
        <v>23</v>
      </c>
      <c r="F19" s="1" t="s">
        <v>22</v>
      </c>
      <c r="G19" s="1" t="s">
        <v>23</v>
      </c>
      <c r="H19" s="1" t="s">
        <v>341</v>
      </c>
      <c r="I19" s="1" t="s">
        <v>342</v>
      </c>
      <c r="J19" s="1" t="s">
        <v>26</v>
      </c>
    </row>
    <row r="20" spans="1:10" x14ac:dyDescent="0.25">
      <c r="A20" s="1" t="s">
        <v>76</v>
      </c>
      <c r="B20" s="1" t="s">
        <v>21</v>
      </c>
      <c r="C20" s="1" t="s">
        <v>21</v>
      </c>
      <c r="D20" s="1" t="s">
        <v>23</v>
      </c>
      <c r="E20" s="1" t="s">
        <v>23</v>
      </c>
      <c r="F20" s="1" t="s">
        <v>22</v>
      </c>
      <c r="G20" s="1" t="s">
        <v>23</v>
      </c>
      <c r="H20" s="1" t="s">
        <v>343</v>
      </c>
      <c r="I20" s="1" t="s">
        <v>344</v>
      </c>
      <c r="J20" s="1" t="s">
        <v>26</v>
      </c>
    </row>
    <row r="21" spans="1:10" x14ac:dyDescent="0.25">
      <c r="A21" s="1" t="s">
        <v>79</v>
      </c>
      <c r="B21" s="1" t="s">
        <v>28</v>
      </c>
      <c r="C21" s="1" t="s">
        <v>28</v>
      </c>
      <c r="D21" s="1" t="s">
        <v>23</v>
      </c>
      <c r="E21" s="1" t="s">
        <v>23</v>
      </c>
      <c r="F21" s="1" t="s">
        <v>22</v>
      </c>
      <c r="G21" s="1" t="s">
        <v>23</v>
      </c>
      <c r="H21" s="1" t="s">
        <v>345</v>
      </c>
      <c r="I21" s="1" t="s">
        <v>346</v>
      </c>
      <c r="J21" s="1" t="s">
        <v>26</v>
      </c>
    </row>
    <row r="22" spans="1:10" x14ac:dyDescent="0.25">
      <c r="A22" s="1" t="s">
        <v>82</v>
      </c>
      <c r="B22" s="1" t="s">
        <v>28</v>
      </c>
      <c r="C22" s="1" t="s">
        <v>28</v>
      </c>
      <c r="D22" s="1" t="s">
        <v>23</v>
      </c>
      <c r="E22" s="1" t="s">
        <v>23</v>
      </c>
      <c r="F22" s="1" t="s">
        <v>22</v>
      </c>
      <c r="G22" s="1" t="s">
        <v>23</v>
      </c>
      <c r="H22" s="1" t="s">
        <v>347</v>
      </c>
      <c r="I22" s="1" t="s">
        <v>348</v>
      </c>
      <c r="J22" s="1" t="s">
        <v>26</v>
      </c>
    </row>
    <row r="23" spans="1:10" x14ac:dyDescent="0.25">
      <c r="A23" s="1" t="s">
        <v>85</v>
      </c>
      <c r="B23" s="1" t="s">
        <v>28</v>
      </c>
      <c r="C23" s="1" t="s">
        <v>28</v>
      </c>
      <c r="D23" s="1" t="s">
        <v>23</v>
      </c>
      <c r="E23" s="1" t="s">
        <v>23</v>
      </c>
      <c r="F23" s="1" t="s">
        <v>22</v>
      </c>
      <c r="G23" s="1" t="s">
        <v>23</v>
      </c>
      <c r="H23" s="1" t="s">
        <v>349</v>
      </c>
      <c r="I23" s="1" t="s">
        <v>350</v>
      </c>
      <c r="J23" s="1" t="s">
        <v>26</v>
      </c>
    </row>
    <row r="24" spans="1:10" x14ac:dyDescent="0.25">
      <c r="A24" s="1" t="s">
        <v>88</v>
      </c>
      <c r="B24" s="1" t="s">
        <v>28</v>
      </c>
      <c r="C24" s="1" t="s">
        <v>21</v>
      </c>
      <c r="D24" s="1" t="s">
        <v>23</v>
      </c>
      <c r="E24" s="1" t="s">
        <v>23</v>
      </c>
      <c r="F24" s="1" t="s">
        <v>22</v>
      </c>
      <c r="G24" s="1" t="s">
        <v>23</v>
      </c>
      <c r="H24" s="1" t="s">
        <v>351</v>
      </c>
      <c r="I24" s="1" t="s">
        <v>352</v>
      </c>
      <c r="J24" s="1" t="s">
        <v>26</v>
      </c>
    </row>
    <row r="25" spans="1:10" x14ac:dyDescent="0.25">
      <c r="A25" s="1" t="s">
        <v>91</v>
      </c>
      <c r="B25" s="1" t="s">
        <v>28</v>
      </c>
      <c r="C25" s="1" t="s">
        <v>28</v>
      </c>
      <c r="D25" s="1" t="s">
        <v>23</v>
      </c>
      <c r="E25" s="1" t="s">
        <v>23</v>
      </c>
      <c r="F25" s="1" t="s">
        <v>22</v>
      </c>
      <c r="G25" s="1" t="s">
        <v>23</v>
      </c>
      <c r="H25" s="1" t="s">
        <v>353</v>
      </c>
      <c r="I25" s="1" t="s">
        <v>354</v>
      </c>
      <c r="J25" s="1" t="s">
        <v>26</v>
      </c>
    </row>
    <row r="26" spans="1:10" x14ac:dyDescent="0.25">
      <c r="A26" s="1" t="s">
        <v>94</v>
      </c>
      <c r="B26" s="1" t="s">
        <v>28</v>
      </c>
      <c r="C26" s="1" t="s">
        <v>28</v>
      </c>
      <c r="D26" s="1" t="s">
        <v>23</v>
      </c>
      <c r="E26" s="1" t="s">
        <v>23</v>
      </c>
      <c r="F26" s="1" t="s">
        <v>22</v>
      </c>
      <c r="G26" s="1" t="s">
        <v>23</v>
      </c>
      <c r="H26" s="1" t="s">
        <v>355</v>
      </c>
      <c r="I26" s="1" t="s">
        <v>355</v>
      </c>
      <c r="J26" s="1" t="s">
        <v>26</v>
      </c>
    </row>
    <row r="27" spans="1:10" x14ac:dyDescent="0.25">
      <c r="A27" s="1" t="s">
        <v>97</v>
      </c>
      <c r="B27" s="1" t="s">
        <v>28</v>
      </c>
      <c r="C27" s="1" t="s">
        <v>28</v>
      </c>
      <c r="D27" s="1" t="s">
        <v>23</v>
      </c>
      <c r="E27" s="1" t="s">
        <v>23</v>
      </c>
      <c r="F27" s="1" t="s">
        <v>22</v>
      </c>
      <c r="G27" s="1" t="s">
        <v>23</v>
      </c>
      <c r="H27" s="1" t="s">
        <v>356</v>
      </c>
      <c r="I27" s="1" t="s">
        <v>357</v>
      </c>
      <c r="J27" s="1" t="s">
        <v>26</v>
      </c>
    </row>
    <row r="28" spans="1:10" x14ac:dyDescent="0.25">
      <c r="A28" s="1" t="s">
        <v>100</v>
      </c>
      <c r="B28" s="1" t="s">
        <v>28</v>
      </c>
      <c r="C28" s="1" t="s">
        <v>28</v>
      </c>
      <c r="D28" s="1" t="s">
        <v>23</v>
      </c>
      <c r="E28" s="1" t="s">
        <v>23</v>
      </c>
      <c r="F28" s="1" t="s">
        <v>22</v>
      </c>
      <c r="G28" s="1" t="s">
        <v>23</v>
      </c>
      <c r="H28" s="1" t="s">
        <v>358</v>
      </c>
      <c r="I28" s="1" t="s">
        <v>359</v>
      </c>
      <c r="J28" s="1" t="s">
        <v>26</v>
      </c>
    </row>
    <row r="29" spans="1:10" x14ac:dyDescent="0.25">
      <c r="A29" s="1" t="s">
        <v>103</v>
      </c>
      <c r="B29" s="1" t="s">
        <v>28</v>
      </c>
      <c r="C29" s="1" t="s">
        <v>28</v>
      </c>
      <c r="D29" s="1" t="s">
        <v>23</v>
      </c>
      <c r="E29" s="1" t="s">
        <v>23</v>
      </c>
      <c r="F29" s="1" t="s">
        <v>22</v>
      </c>
      <c r="G29" s="1" t="s">
        <v>23</v>
      </c>
      <c r="H29" s="1" t="s">
        <v>360</v>
      </c>
      <c r="I29" s="1" t="s">
        <v>361</v>
      </c>
      <c r="J29" s="1" t="s">
        <v>26</v>
      </c>
    </row>
    <row r="30" spans="1:10" x14ac:dyDescent="0.25">
      <c r="A30" s="1" t="s">
        <v>106</v>
      </c>
      <c r="B30" s="1" t="s">
        <v>28</v>
      </c>
      <c r="C30" s="1" t="s">
        <v>28</v>
      </c>
      <c r="D30" s="1" t="s">
        <v>23</v>
      </c>
      <c r="E30" s="1" t="s">
        <v>23</v>
      </c>
      <c r="F30" s="1" t="s">
        <v>22</v>
      </c>
      <c r="G30" s="1" t="s">
        <v>23</v>
      </c>
      <c r="H30" s="1" t="s">
        <v>362</v>
      </c>
      <c r="I30" s="1" t="s">
        <v>363</v>
      </c>
      <c r="J30" s="1" t="s">
        <v>26</v>
      </c>
    </row>
    <row r="31" spans="1:10" x14ac:dyDescent="0.25">
      <c r="A31" s="1" t="s">
        <v>109</v>
      </c>
      <c r="B31" s="1" t="s">
        <v>28</v>
      </c>
      <c r="C31" s="1" t="s">
        <v>28</v>
      </c>
      <c r="D31" s="1" t="s">
        <v>23</v>
      </c>
      <c r="E31" s="1" t="s">
        <v>23</v>
      </c>
      <c r="F31" s="1" t="s">
        <v>22</v>
      </c>
      <c r="G31" s="1" t="s">
        <v>23</v>
      </c>
      <c r="H31" s="1" t="s">
        <v>364</v>
      </c>
      <c r="I31" s="1" t="s">
        <v>365</v>
      </c>
      <c r="J31" s="1" t="s">
        <v>26</v>
      </c>
    </row>
    <row r="32" spans="1:10" x14ac:dyDescent="0.25">
      <c r="A32" s="1" t="s">
        <v>112</v>
      </c>
      <c r="B32" s="1" t="s">
        <v>28</v>
      </c>
      <c r="C32" s="1" t="s">
        <v>28</v>
      </c>
      <c r="D32" s="1" t="s">
        <v>23</v>
      </c>
      <c r="E32" s="1" t="s">
        <v>23</v>
      </c>
      <c r="F32" s="1" t="s">
        <v>22</v>
      </c>
      <c r="G32" s="1" t="s">
        <v>23</v>
      </c>
      <c r="H32" s="1" t="s">
        <v>222</v>
      </c>
      <c r="I32" s="1" t="s">
        <v>366</v>
      </c>
      <c r="J32" s="1" t="s">
        <v>26</v>
      </c>
    </row>
    <row r="33" spans="1:10" x14ac:dyDescent="0.25">
      <c r="A33" s="1" t="s">
        <v>115</v>
      </c>
      <c r="B33" s="1" t="s">
        <v>28</v>
      </c>
      <c r="C33" s="1" t="s">
        <v>28</v>
      </c>
      <c r="D33" s="1" t="s">
        <v>23</v>
      </c>
      <c r="E33" s="1" t="s">
        <v>23</v>
      </c>
      <c r="F33" s="1" t="s">
        <v>22</v>
      </c>
      <c r="G33" s="1" t="s">
        <v>23</v>
      </c>
      <c r="H33" s="1" t="s">
        <v>367</v>
      </c>
      <c r="I33" s="1" t="s">
        <v>368</v>
      </c>
      <c r="J33" s="1" t="s">
        <v>26</v>
      </c>
    </row>
    <row r="34" spans="1:10" x14ac:dyDescent="0.25">
      <c r="A34" s="1" t="s">
        <v>118</v>
      </c>
      <c r="B34" s="1" t="s">
        <v>28</v>
      </c>
      <c r="C34" s="1" t="s">
        <v>28</v>
      </c>
      <c r="D34" s="1" t="s">
        <v>23</v>
      </c>
      <c r="E34" s="1" t="s">
        <v>23</v>
      </c>
      <c r="F34" s="1" t="s">
        <v>22</v>
      </c>
      <c r="G34" s="1" t="s">
        <v>23</v>
      </c>
      <c r="H34" s="1" t="s">
        <v>369</v>
      </c>
      <c r="I34" s="1" t="s">
        <v>370</v>
      </c>
      <c r="J34" s="1" t="s">
        <v>26</v>
      </c>
    </row>
    <row r="35" spans="1:10" x14ac:dyDescent="0.25">
      <c r="A35" s="1" t="s">
        <v>121</v>
      </c>
      <c r="B35" s="1" t="s">
        <v>28</v>
      </c>
      <c r="C35" s="1" t="s">
        <v>21</v>
      </c>
      <c r="D35" s="1" t="s">
        <v>23</v>
      </c>
      <c r="E35" s="1" t="s">
        <v>23</v>
      </c>
      <c r="F35" s="1" t="s">
        <v>22</v>
      </c>
      <c r="G35" s="1" t="s">
        <v>23</v>
      </c>
      <c r="H35" s="1" t="s">
        <v>371</v>
      </c>
      <c r="I35" s="1" t="s">
        <v>372</v>
      </c>
      <c r="J35" s="1" t="s">
        <v>26</v>
      </c>
    </row>
    <row r="36" spans="1:10" x14ac:dyDescent="0.25">
      <c r="A36" s="1" t="s">
        <v>124</v>
      </c>
      <c r="B36" s="1" t="s">
        <v>28</v>
      </c>
      <c r="C36" s="1" t="s">
        <v>21</v>
      </c>
      <c r="D36" s="1" t="s">
        <v>23</v>
      </c>
      <c r="E36" s="1" t="s">
        <v>23</v>
      </c>
      <c r="F36" s="1" t="s">
        <v>22</v>
      </c>
      <c r="G36" s="1" t="s">
        <v>23</v>
      </c>
      <c r="H36" s="1" t="s">
        <v>373</v>
      </c>
      <c r="I36" s="1" t="s">
        <v>374</v>
      </c>
      <c r="J36" s="1" t="s">
        <v>26</v>
      </c>
    </row>
    <row r="37" spans="1:10" x14ac:dyDescent="0.25">
      <c r="A37" s="1" t="s">
        <v>127</v>
      </c>
      <c r="B37" s="1" t="s">
        <v>28</v>
      </c>
      <c r="C37" s="1" t="s">
        <v>28</v>
      </c>
      <c r="D37" s="1" t="s">
        <v>23</v>
      </c>
      <c r="E37" s="1" t="s">
        <v>23</v>
      </c>
      <c r="F37" s="1" t="s">
        <v>22</v>
      </c>
      <c r="G37" s="1" t="s">
        <v>23</v>
      </c>
      <c r="H37" s="1" t="s">
        <v>375</v>
      </c>
      <c r="I37" s="1" t="s">
        <v>376</v>
      </c>
      <c r="J37" s="1" t="s">
        <v>26</v>
      </c>
    </row>
    <row r="38" spans="1:10" x14ac:dyDescent="0.25">
      <c r="A38" s="1" t="s">
        <v>130</v>
      </c>
      <c r="B38" s="1" t="s">
        <v>28</v>
      </c>
      <c r="C38" s="1" t="s">
        <v>28</v>
      </c>
      <c r="D38" s="1" t="s">
        <v>23</v>
      </c>
      <c r="E38" s="1" t="s">
        <v>23</v>
      </c>
      <c r="F38" s="1" t="s">
        <v>22</v>
      </c>
      <c r="G38" s="1" t="s">
        <v>23</v>
      </c>
      <c r="H38" s="1" t="s">
        <v>377</v>
      </c>
      <c r="I38" s="1" t="s">
        <v>378</v>
      </c>
      <c r="J38" s="1" t="s">
        <v>26</v>
      </c>
    </row>
    <row r="39" spans="1:10" x14ac:dyDescent="0.25">
      <c r="A39" s="1" t="s">
        <v>133</v>
      </c>
      <c r="B39" s="1" t="s">
        <v>28</v>
      </c>
      <c r="C39" s="1" t="s">
        <v>21</v>
      </c>
      <c r="D39" s="1" t="s">
        <v>23</v>
      </c>
      <c r="E39" s="1" t="s">
        <v>23</v>
      </c>
      <c r="F39" s="1" t="s">
        <v>22</v>
      </c>
      <c r="G39" s="1" t="s">
        <v>23</v>
      </c>
      <c r="H39" s="1" t="s">
        <v>379</v>
      </c>
      <c r="I39" s="1" t="s">
        <v>380</v>
      </c>
      <c r="J39" s="1" t="s">
        <v>26</v>
      </c>
    </row>
    <row r="40" spans="1:10" x14ac:dyDescent="0.25">
      <c r="A40" s="1" t="s">
        <v>136</v>
      </c>
      <c r="B40" s="1" t="s">
        <v>28</v>
      </c>
      <c r="C40" s="1" t="s">
        <v>28</v>
      </c>
      <c r="D40" s="1" t="s">
        <v>23</v>
      </c>
      <c r="E40" s="1" t="s">
        <v>23</v>
      </c>
      <c r="F40" s="1" t="s">
        <v>22</v>
      </c>
      <c r="G40" s="1" t="s">
        <v>23</v>
      </c>
      <c r="H40" s="1" t="s">
        <v>381</v>
      </c>
      <c r="I40" s="1" t="s">
        <v>382</v>
      </c>
      <c r="J40" s="1" t="s">
        <v>26</v>
      </c>
    </row>
    <row r="41" spans="1:10" x14ac:dyDescent="0.25">
      <c r="A41" s="1" t="s">
        <v>139</v>
      </c>
      <c r="B41" s="1" t="s">
        <v>28</v>
      </c>
      <c r="C41" s="1" t="s">
        <v>28</v>
      </c>
      <c r="D41" s="1" t="s">
        <v>23</v>
      </c>
      <c r="E41" s="1" t="s">
        <v>23</v>
      </c>
      <c r="F41" s="1" t="s">
        <v>22</v>
      </c>
      <c r="G41" s="1" t="s">
        <v>23</v>
      </c>
      <c r="H41" s="1" t="s">
        <v>93</v>
      </c>
      <c r="I41" s="1" t="s">
        <v>35</v>
      </c>
      <c r="J41" s="1" t="s">
        <v>26</v>
      </c>
    </row>
    <row r="42" spans="1:10" x14ac:dyDescent="0.25">
      <c r="A42" s="1" t="s">
        <v>142</v>
      </c>
      <c r="B42" s="1" t="s">
        <v>28</v>
      </c>
      <c r="C42" s="1" t="s">
        <v>28</v>
      </c>
      <c r="D42" s="1" t="s">
        <v>23</v>
      </c>
      <c r="E42" s="1" t="s">
        <v>23</v>
      </c>
      <c r="F42" s="1" t="s">
        <v>22</v>
      </c>
      <c r="G42" s="1" t="s">
        <v>23</v>
      </c>
      <c r="H42" s="1" t="s">
        <v>383</v>
      </c>
      <c r="I42" s="1" t="s">
        <v>384</v>
      </c>
      <c r="J42" s="1" t="s">
        <v>26</v>
      </c>
    </row>
    <row r="43" spans="1:10" x14ac:dyDescent="0.25">
      <c r="A43" s="1" t="s">
        <v>145</v>
      </c>
      <c r="B43" s="1" t="s">
        <v>28</v>
      </c>
      <c r="C43" s="1" t="s">
        <v>28</v>
      </c>
      <c r="D43" s="1" t="s">
        <v>23</v>
      </c>
      <c r="E43" s="1" t="s">
        <v>23</v>
      </c>
      <c r="F43" s="1" t="s">
        <v>22</v>
      </c>
      <c r="G43" s="1" t="s">
        <v>23</v>
      </c>
      <c r="H43" s="1" t="s">
        <v>385</v>
      </c>
      <c r="I43" s="1" t="s">
        <v>386</v>
      </c>
      <c r="J43" s="1" t="s">
        <v>26</v>
      </c>
    </row>
    <row r="44" spans="1:10" x14ac:dyDescent="0.25">
      <c r="A44" s="1" t="s">
        <v>148</v>
      </c>
      <c r="B44" s="1" t="s">
        <v>28</v>
      </c>
      <c r="C44" s="1" t="s">
        <v>28</v>
      </c>
      <c r="D44" s="1" t="s">
        <v>23</v>
      </c>
      <c r="E44" s="1" t="s">
        <v>23</v>
      </c>
      <c r="F44" s="1" t="s">
        <v>22</v>
      </c>
      <c r="G44" s="1" t="s">
        <v>23</v>
      </c>
      <c r="H44" s="1" t="s">
        <v>387</v>
      </c>
      <c r="I44" s="1" t="s">
        <v>388</v>
      </c>
      <c r="J44" s="1" t="s">
        <v>26</v>
      </c>
    </row>
    <row r="45" spans="1:10" x14ac:dyDescent="0.25">
      <c r="A45" s="1" t="s">
        <v>151</v>
      </c>
      <c r="B45" s="1" t="s">
        <v>28</v>
      </c>
      <c r="C45" s="1" t="s">
        <v>28</v>
      </c>
      <c r="D45" s="1" t="s">
        <v>23</v>
      </c>
      <c r="E45" s="1" t="s">
        <v>23</v>
      </c>
      <c r="F45" s="1" t="s">
        <v>22</v>
      </c>
      <c r="G45" s="1" t="s">
        <v>23</v>
      </c>
      <c r="H45" s="1" t="s">
        <v>389</v>
      </c>
      <c r="I45" s="1" t="s">
        <v>390</v>
      </c>
      <c r="J45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B2E5-BF4A-4C87-8F42-00785D649ECC}">
  <dimension ref="A1:O45"/>
  <sheetViews>
    <sheetView workbookViewId="0">
      <selection activeCell="N2" sqref="N2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28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465</v>
      </c>
      <c r="N2">
        <f>COUNTIFS(B:B, "CLOSED", C:C, "CLOSED")</f>
        <v>16</v>
      </c>
      <c r="O2">
        <f>COUNTIFS(B:B, "OPEN", C:C, "OPEN")</f>
        <v>23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23</v>
      </c>
      <c r="E3" s="1" t="s">
        <v>22</v>
      </c>
      <c r="F3" s="1" t="s">
        <v>23</v>
      </c>
      <c r="G3" s="1" t="s">
        <v>23</v>
      </c>
      <c r="H3" s="1" t="s">
        <v>233</v>
      </c>
      <c r="I3" s="1" t="s">
        <v>234</v>
      </c>
      <c r="J3" s="1" t="s">
        <v>26</v>
      </c>
      <c r="M3" s="2" t="s">
        <v>466</v>
      </c>
      <c r="N3">
        <f>COUNTIFS(B:B, "CLOSED")</f>
        <v>18</v>
      </c>
      <c r="O3">
        <f>COUNTIFS(B:B, "OPEN")</f>
        <v>25</v>
      </c>
    </row>
    <row r="4" spans="1:15" x14ac:dyDescent="0.25">
      <c r="A4" s="1" t="s">
        <v>27</v>
      </c>
      <c r="B4" s="1" t="s">
        <v>21</v>
      </c>
      <c r="C4" s="1" t="s">
        <v>28</v>
      </c>
      <c r="D4" s="1" t="s">
        <v>23</v>
      </c>
      <c r="E4" s="1" t="s">
        <v>22</v>
      </c>
      <c r="F4" s="1" t="s">
        <v>23</v>
      </c>
      <c r="G4" s="1" t="s">
        <v>23</v>
      </c>
      <c r="H4" s="1" t="s">
        <v>235</v>
      </c>
      <c r="I4" s="1" t="s">
        <v>236</v>
      </c>
      <c r="J4" s="1" t="s">
        <v>26</v>
      </c>
      <c r="M4" s="2" t="s">
        <v>467</v>
      </c>
      <c r="N4">
        <f>N2/N3</f>
        <v>0.88888888888888884</v>
      </c>
      <c r="O4">
        <f>O2/O3</f>
        <v>0.92</v>
      </c>
    </row>
    <row r="5" spans="1:15" x14ac:dyDescent="0.25">
      <c r="A5" s="1" t="s">
        <v>31</v>
      </c>
      <c r="B5" s="1" t="s">
        <v>21</v>
      </c>
      <c r="C5" s="1" t="s">
        <v>21</v>
      </c>
      <c r="D5" s="1" t="s">
        <v>23</v>
      </c>
      <c r="E5" s="1" t="s">
        <v>22</v>
      </c>
      <c r="F5" s="1" t="s">
        <v>23</v>
      </c>
      <c r="G5" s="1" t="s">
        <v>23</v>
      </c>
      <c r="H5" s="1" t="s">
        <v>237</v>
      </c>
      <c r="I5" s="1" t="s">
        <v>238</v>
      </c>
      <c r="J5" s="1" t="s">
        <v>26</v>
      </c>
    </row>
    <row r="6" spans="1:15" x14ac:dyDescent="0.25">
      <c r="A6" s="1" t="s">
        <v>34</v>
      </c>
      <c r="B6" s="1" t="s">
        <v>21</v>
      </c>
      <c r="C6" s="1" t="s">
        <v>28</v>
      </c>
      <c r="D6" s="1" t="s">
        <v>23</v>
      </c>
      <c r="E6" s="1" t="s">
        <v>22</v>
      </c>
      <c r="F6" s="1" t="s">
        <v>23</v>
      </c>
      <c r="G6" s="1" t="s">
        <v>23</v>
      </c>
      <c r="H6" s="1" t="s">
        <v>239</v>
      </c>
      <c r="I6" s="1" t="s">
        <v>240</v>
      </c>
      <c r="J6" s="1" t="s">
        <v>26</v>
      </c>
    </row>
    <row r="7" spans="1:15" x14ac:dyDescent="0.25">
      <c r="A7" s="1" t="s">
        <v>37</v>
      </c>
      <c r="B7" s="1" t="s">
        <v>21</v>
      </c>
      <c r="C7" s="1" t="s">
        <v>21</v>
      </c>
      <c r="D7" s="1" t="s">
        <v>23</v>
      </c>
      <c r="E7" s="1" t="s">
        <v>22</v>
      </c>
      <c r="F7" s="1" t="s">
        <v>23</v>
      </c>
      <c r="G7" s="1" t="s">
        <v>23</v>
      </c>
      <c r="H7" s="1" t="s">
        <v>32</v>
      </c>
      <c r="I7" s="1" t="s">
        <v>241</v>
      </c>
      <c r="J7" s="1" t="s">
        <v>26</v>
      </c>
    </row>
    <row r="8" spans="1:15" x14ac:dyDescent="0.25">
      <c r="A8" s="1" t="s">
        <v>40</v>
      </c>
      <c r="B8" s="1" t="s">
        <v>21</v>
      </c>
      <c r="C8" s="1" t="s">
        <v>21</v>
      </c>
      <c r="D8" s="1" t="s">
        <v>23</v>
      </c>
      <c r="E8" s="1" t="s">
        <v>22</v>
      </c>
      <c r="F8" s="1" t="s">
        <v>23</v>
      </c>
      <c r="G8" s="1" t="s">
        <v>23</v>
      </c>
      <c r="H8" s="1" t="s">
        <v>242</v>
      </c>
      <c r="I8" s="1" t="s">
        <v>243</v>
      </c>
      <c r="J8" s="1" t="s">
        <v>26</v>
      </c>
    </row>
    <row r="9" spans="1:15" x14ac:dyDescent="0.25">
      <c r="A9" s="1" t="s">
        <v>43</v>
      </c>
      <c r="B9" s="1" t="s">
        <v>21</v>
      </c>
      <c r="C9" s="1" t="s">
        <v>21</v>
      </c>
      <c r="D9" s="1" t="s">
        <v>23</v>
      </c>
      <c r="E9" s="1" t="s">
        <v>22</v>
      </c>
      <c r="F9" s="1" t="s">
        <v>23</v>
      </c>
      <c r="G9" s="1" t="s">
        <v>23</v>
      </c>
      <c r="H9" s="1" t="s">
        <v>244</v>
      </c>
      <c r="I9" s="1" t="s">
        <v>245</v>
      </c>
      <c r="J9" s="1" t="s">
        <v>26</v>
      </c>
    </row>
    <row r="10" spans="1:15" x14ac:dyDescent="0.25">
      <c r="A10" s="1" t="s">
        <v>46</v>
      </c>
      <c r="B10" s="1" t="s">
        <v>21</v>
      </c>
      <c r="C10" s="1" t="s">
        <v>21</v>
      </c>
      <c r="D10" s="1" t="s">
        <v>23</v>
      </c>
      <c r="E10" s="1" t="s">
        <v>22</v>
      </c>
      <c r="F10" s="1" t="s">
        <v>23</v>
      </c>
      <c r="G10" s="1" t="s">
        <v>23</v>
      </c>
      <c r="H10" s="1" t="s">
        <v>246</v>
      </c>
      <c r="I10" s="1" t="s">
        <v>247</v>
      </c>
      <c r="J10" s="1" t="s">
        <v>26</v>
      </c>
    </row>
    <row r="11" spans="1:15" x14ac:dyDescent="0.25">
      <c r="A11" s="1" t="s">
        <v>49</v>
      </c>
      <c r="B11" s="1" t="s">
        <v>21</v>
      </c>
      <c r="C11" s="1" t="s">
        <v>21</v>
      </c>
      <c r="D11" s="1" t="s">
        <v>23</v>
      </c>
      <c r="E11" s="1" t="s">
        <v>22</v>
      </c>
      <c r="F11" s="1" t="s">
        <v>23</v>
      </c>
      <c r="G11" s="1" t="s">
        <v>23</v>
      </c>
      <c r="H11" s="1" t="s">
        <v>248</v>
      </c>
      <c r="I11" s="1" t="s">
        <v>249</v>
      </c>
      <c r="J11" s="1" t="s">
        <v>26</v>
      </c>
    </row>
    <row r="12" spans="1:15" x14ac:dyDescent="0.25">
      <c r="A12" s="1" t="s">
        <v>52</v>
      </c>
      <c r="B12" s="1" t="s">
        <v>21</v>
      </c>
      <c r="C12" s="1" t="s">
        <v>21</v>
      </c>
      <c r="D12" s="1" t="s">
        <v>23</v>
      </c>
      <c r="E12" s="1" t="s">
        <v>22</v>
      </c>
      <c r="F12" s="1" t="s">
        <v>23</v>
      </c>
      <c r="G12" s="1" t="s">
        <v>23</v>
      </c>
      <c r="H12" s="1" t="s">
        <v>250</v>
      </c>
      <c r="I12" s="1" t="s">
        <v>26</v>
      </c>
      <c r="J12" s="1" t="s">
        <v>26</v>
      </c>
    </row>
    <row r="13" spans="1:15" x14ac:dyDescent="0.25">
      <c r="A13" s="1" t="s">
        <v>55</v>
      </c>
      <c r="B13" s="1" t="s">
        <v>21</v>
      </c>
      <c r="C13" s="1" t="s">
        <v>21</v>
      </c>
      <c r="D13" s="1" t="s">
        <v>23</v>
      </c>
      <c r="E13" s="1" t="s">
        <v>22</v>
      </c>
      <c r="F13" s="1" t="s">
        <v>23</v>
      </c>
      <c r="G13" s="1" t="s">
        <v>23</v>
      </c>
      <c r="H13" s="1" t="s">
        <v>251</v>
      </c>
      <c r="I13" s="1" t="s">
        <v>252</v>
      </c>
      <c r="J13" s="1" t="s">
        <v>26</v>
      </c>
    </row>
    <row r="14" spans="1:15" x14ac:dyDescent="0.25">
      <c r="A14" s="1" t="s">
        <v>58</v>
      </c>
      <c r="B14" s="1" t="s">
        <v>21</v>
      </c>
      <c r="C14" s="1" t="s">
        <v>21</v>
      </c>
      <c r="D14" s="1" t="s">
        <v>23</v>
      </c>
      <c r="E14" s="1" t="s">
        <v>22</v>
      </c>
      <c r="F14" s="1" t="s">
        <v>23</v>
      </c>
      <c r="G14" s="1" t="s">
        <v>23</v>
      </c>
      <c r="H14" s="1" t="s">
        <v>253</v>
      </c>
      <c r="I14" s="1" t="s">
        <v>254</v>
      </c>
      <c r="J14" s="1" t="s">
        <v>26</v>
      </c>
    </row>
    <row r="15" spans="1:15" x14ac:dyDescent="0.25">
      <c r="A15" s="1" t="s">
        <v>61</v>
      </c>
      <c r="B15" s="1" t="s">
        <v>21</v>
      </c>
      <c r="C15" s="1" t="s">
        <v>21</v>
      </c>
      <c r="D15" s="1" t="s">
        <v>23</v>
      </c>
      <c r="E15" s="1" t="s">
        <v>22</v>
      </c>
      <c r="F15" s="1" t="s">
        <v>23</v>
      </c>
      <c r="G15" s="1" t="s">
        <v>23</v>
      </c>
      <c r="H15" s="1" t="s">
        <v>255</v>
      </c>
      <c r="I15" s="1" t="s">
        <v>256</v>
      </c>
      <c r="J15" s="1" t="s">
        <v>26</v>
      </c>
    </row>
    <row r="16" spans="1:15" x14ac:dyDescent="0.25">
      <c r="A16" s="1" t="s">
        <v>64</v>
      </c>
      <c r="B16" s="1" t="s">
        <v>21</v>
      </c>
      <c r="C16" s="1" t="s">
        <v>21</v>
      </c>
      <c r="D16" s="1" t="s">
        <v>23</v>
      </c>
      <c r="E16" s="1" t="s">
        <v>22</v>
      </c>
      <c r="F16" s="1" t="s">
        <v>23</v>
      </c>
      <c r="G16" s="1" t="s">
        <v>23</v>
      </c>
      <c r="H16" s="1" t="s">
        <v>257</v>
      </c>
      <c r="I16" s="1" t="s">
        <v>258</v>
      </c>
      <c r="J16" s="1" t="s">
        <v>26</v>
      </c>
    </row>
    <row r="17" spans="1:10" x14ac:dyDescent="0.25">
      <c r="A17" s="1" t="s">
        <v>67</v>
      </c>
      <c r="B17" s="1" t="s">
        <v>21</v>
      </c>
      <c r="C17" s="1" t="s">
        <v>21</v>
      </c>
      <c r="D17" s="1" t="s">
        <v>23</v>
      </c>
      <c r="E17" s="1" t="s">
        <v>22</v>
      </c>
      <c r="F17" s="1" t="s">
        <v>23</v>
      </c>
      <c r="G17" s="1" t="s">
        <v>23</v>
      </c>
      <c r="H17" s="1" t="s">
        <v>259</v>
      </c>
      <c r="I17" s="1" t="s">
        <v>260</v>
      </c>
      <c r="J17" s="1" t="s">
        <v>26</v>
      </c>
    </row>
    <row r="18" spans="1:10" x14ac:dyDescent="0.25">
      <c r="A18" s="1" t="s">
        <v>70</v>
      </c>
      <c r="B18" s="1" t="s">
        <v>21</v>
      </c>
      <c r="C18" s="1" t="s">
        <v>21</v>
      </c>
      <c r="D18" s="1" t="s">
        <v>23</v>
      </c>
      <c r="E18" s="1" t="s">
        <v>22</v>
      </c>
      <c r="F18" s="1" t="s">
        <v>23</v>
      </c>
      <c r="G18" s="1" t="s">
        <v>23</v>
      </c>
      <c r="H18" s="1" t="s">
        <v>24</v>
      </c>
      <c r="I18" s="1" t="s">
        <v>261</v>
      </c>
      <c r="J18" s="1" t="s">
        <v>26</v>
      </c>
    </row>
    <row r="19" spans="1:10" x14ac:dyDescent="0.25">
      <c r="A19" s="1" t="s">
        <v>73</v>
      </c>
      <c r="B19" s="1" t="s">
        <v>21</v>
      </c>
      <c r="C19" s="1" t="s">
        <v>21</v>
      </c>
      <c r="D19" s="1" t="s">
        <v>23</v>
      </c>
      <c r="E19" s="1" t="s">
        <v>22</v>
      </c>
      <c r="F19" s="1" t="s">
        <v>23</v>
      </c>
      <c r="G19" s="1" t="s">
        <v>23</v>
      </c>
      <c r="H19" s="1" t="s">
        <v>262</v>
      </c>
      <c r="I19" s="1" t="s">
        <v>263</v>
      </c>
      <c r="J19" s="1" t="s">
        <v>26</v>
      </c>
    </row>
    <row r="20" spans="1:10" x14ac:dyDescent="0.25">
      <c r="A20" s="1" t="s">
        <v>76</v>
      </c>
      <c r="B20" s="1" t="s">
        <v>21</v>
      </c>
      <c r="C20" s="1" t="s">
        <v>21</v>
      </c>
      <c r="D20" s="1" t="s">
        <v>23</v>
      </c>
      <c r="E20" s="1" t="s">
        <v>22</v>
      </c>
      <c r="F20" s="1" t="s">
        <v>23</v>
      </c>
      <c r="G20" s="1" t="s">
        <v>23</v>
      </c>
      <c r="H20" s="1" t="s">
        <v>264</v>
      </c>
      <c r="I20" s="1" t="s">
        <v>265</v>
      </c>
      <c r="J20" s="1" t="s">
        <v>26</v>
      </c>
    </row>
    <row r="21" spans="1:10" x14ac:dyDescent="0.25">
      <c r="A21" s="1" t="s">
        <v>79</v>
      </c>
      <c r="B21" s="1" t="s">
        <v>28</v>
      </c>
      <c r="C21" s="1" t="s">
        <v>28</v>
      </c>
      <c r="D21" s="1" t="s">
        <v>23</v>
      </c>
      <c r="E21" s="1" t="s">
        <v>22</v>
      </c>
      <c r="F21" s="1" t="s">
        <v>23</v>
      </c>
      <c r="G21" s="1" t="s">
        <v>23</v>
      </c>
      <c r="H21" s="1" t="s">
        <v>266</v>
      </c>
      <c r="I21" s="1" t="s">
        <v>144</v>
      </c>
      <c r="J21" s="1" t="s">
        <v>26</v>
      </c>
    </row>
    <row r="22" spans="1:10" x14ac:dyDescent="0.25">
      <c r="A22" s="1" t="s">
        <v>82</v>
      </c>
      <c r="B22" s="1" t="s">
        <v>28</v>
      </c>
      <c r="C22" s="1" t="s">
        <v>28</v>
      </c>
      <c r="D22" s="1" t="s">
        <v>23</v>
      </c>
      <c r="E22" s="1" t="s">
        <v>22</v>
      </c>
      <c r="F22" s="1" t="s">
        <v>23</v>
      </c>
      <c r="G22" s="1" t="s">
        <v>23</v>
      </c>
      <c r="H22" s="1" t="s">
        <v>267</v>
      </c>
      <c r="I22" s="1" t="s">
        <v>268</v>
      </c>
      <c r="J22" s="1" t="s">
        <v>26</v>
      </c>
    </row>
    <row r="23" spans="1:10" x14ac:dyDescent="0.25">
      <c r="A23" s="1" t="s">
        <v>85</v>
      </c>
      <c r="B23" s="1" t="s">
        <v>28</v>
      </c>
      <c r="C23" s="1" t="s">
        <v>28</v>
      </c>
      <c r="D23" s="1" t="s">
        <v>23</v>
      </c>
      <c r="E23" s="1" t="s">
        <v>22</v>
      </c>
      <c r="F23" s="1" t="s">
        <v>23</v>
      </c>
      <c r="G23" s="1" t="s">
        <v>23</v>
      </c>
      <c r="H23" s="1" t="s">
        <v>269</v>
      </c>
      <c r="I23" s="1" t="s">
        <v>270</v>
      </c>
      <c r="J23" s="1" t="s">
        <v>26</v>
      </c>
    </row>
    <row r="24" spans="1:10" x14ac:dyDescent="0.25">
      <c r="A24" s="1" t="s">
        <v>88</v>
      </c>
      <c r="B24" s="1" t="s">
        <v>28</v>
      </c>
      <c r="C24" s="1" t="s">
        <v>28</v>
      </c>
      <c r="D24" s="1" t="s">
        <v>23</v>
      </c>
      <c r="E24" s="1" t="s">
        <v>22</v>
      </c>
      <c r="F24" s="1" t="s">
        <v>23</v>
      </c>
      <c r="G24" s="1" t="s">
        <v>23</v>
      </c>
      <c r="H24" s="1" t="s">
        <v>271</v>
      </c>
      <c r="I24" s="1" t="s">
        <v>45</v>
      </c>
      <c r="J24" s="1" t="s">
        <v>26</v>
      </c>
    </row>
    <row r="25" spans="1:10" x14ac:dyDescent="0.25">
      <c r="A25" s="1" t="s">
        <v>91</v>
      </c>
      <c r="B25" s="1" t="s">
        <v>28</v>
      </c>
      <c r="C25" s="1" t="s">
        <v>28</v>
      </c>
      <c r="D25" s="1" t="s">
        <v>23</v>
      </c>
      <c r="E25" s="1" t="s">
        <v>22</v>
      </c>
      <c r="F25" s="1" t="s">
        <v>23</v>
      </c>
      <c r="G25" s="1" t="s">
        <v>23</v>
      </c>
      <c r="H25" s="1" t="s">
        <v>272</v>
      </c>
      <c r="I25" s="1" t="s">
        <v>273</v>
      </c>
      <c r="J25" s="1" t="s">
        <v>26</v>
      </c>
    </row>
    <row r="26" spans="1:10" x14ac:dyDescent="0.25">
      <c r="A26" s="1" t="s">
        <v>94</v>
      </c>
      <c r="B26" s="1" t="s">
        <v>28</v>
      </c>
      <c r="C26" s="1" t="s">
        <v>28</v>
      </c>
      <c r="D26" s="1" t="s">
        <v>23</v>
      </c>
      <c r="E26" s="1" t="s">
        <v>22</v>
      </c>
      <c r="F26" s="1" t="s">
        <v>23</v>
      </c>
      <c r="G26" s="1" t="s">
        <v>23</v>
      </c>
      <c r="H26" s="1" t="s">
        <v>274</v>
      </c>
      <c r="I26" s="1" t="s">
        <v>36</v>
      </c>
      <c r="J26" s="1" t="s">
        <v>26</v>
      </c>
    </row>
    <row r="27" spans="1:10" x14ac:dyDescent="0.25">
      <c r="A27" s="1" t="s">
        <v>97</v>
      </c>
      <c r="B27" s="1" t="s">
        <v>28</v>
      </c>
      <c r="C27" s="1" t="s">
        <v>28</v>
      </c>
      <c r="D27" s="1" t="s">
        <v>23</v>
      </c>
      <c r="E27" s="1" t="s">
        <v>22</v>
      </c>
      <c r="F27" s="1" t="s">
        <v>23</v>
      </c>
      <c r="G27" s="1" t="s">
        <v>23</v>
      </c>
      <c r="H27" s="1" t="s">
        <v>275</v>
      </c>
      <c r="I27" s="1" t="s">
        <v>276</v>
      </c>
      <c r="J27" s="1" t="s">
        <v>26</v>
      </c>
    </row>
    <row r="28" spans="1:10" x14ac:dyDescent="0.25">
      <c r="A28" s="1" t="s">
        <v>100</v>
      </c>
      <c r="B28" s="1" t="s">
        <v>28</v>
      </c>
      <c r="C28" s="1" t="s">
        <v>28</v>
      </c>
      <c r="D28" s="1" t="s">
        <v>23</v>
      </c>
      <c r="E28" s="1" t="s">
        <v>22</v>
      </c>
      <c r="F28" s="1" t="s">
        <v>23</v>
      </c>
      <c r="G28" s="1" t="s">
        <v>23</v>
      </c>
      <c r="H28" s="1" t="s">
        <v>277</v>
      </c>
      <c r="I28" s="1" t="s">
        <v>278</v>
      </c>
      <c r="J28" s="1" t="s">
        <v>26</v>
      </c>
    </row>
    <row r="29" spans="1:10" x14ac:dyDescent="0.25">
      <c r="A29" s="1" t="s">
        <v>103</v>
      </c>
      <c r="B29" s="1" t="s">
        <v>28</v>
      </c>
      <c r="C29" s="1" t="s">
        <v>28</v>
      </c>
      <c r="D29" s="1" t="s">
        <v>23</v>
      </c>
      <c r="E29" s="1" t="s">
        <v>22</v>
      </c>
      <c r="F29" s="1" t="s">
        <v>23</v>
      </c>
      <c r="G29" s="1" t="s">
        <v>23</v>
      </c>
      <c r="H29" s="1" t="s">
        <v>279</v>
      </c>
      <c r="I29" s="1" t="s">
        <v>280</v>
      </c>
      <c r="J29" s="1" t="s">
        <v>26</v>
      </c>
    </row>
    <row r="30" spans="1:10" x14ac:dyDescent="0.25">
      <c r="A30" s="1" t="s">
        <v>106</v>
      </c>
      <c r="B30" s="1" t="s">
        <v>28</v>
      </c>
      <c r="C30" s="1" t="s">
        <v>28</v>
      </c>
      <c r="D30" s="1" t="s">
        <v>23</v>
      </c>
      <c r="E30" s="1" t="s">
        <v>22</v>
      </c>
      <c r="F30" s="1" t="s">
        <v>23</v>
      </c>
      <c r="G30" s="1" t="s">
        <v>23</v>
      </c>
      <c r="H30" s="1" t="s">
        <v>281</v>
      </c>
      <c r="I30" s="1" t="s">
        <v>282</v>
      </c>
      <c r="J30" s="1" t="s">
        <v>26</v>
      </c>
    </row>
    <row r="31" spans="1:10" x14ac:dyDescent="0.25">
      <c r="A31" s="1" t="s">
        <v>109</v>
      </c>
      <c r="B31" s="1" t="s">
        <v>28</v>
      </c>
      <c r="C31" s="1" t="s">
        <v>28</v>
      </c>
      <c r="D31" s="1" t="s">
        <v>23</v>
      </c>
      <c r="E31" s="1" t="s">
        <v>22</v>
      </c>
      <c r="F31" s="1" t="s">
        <v>23</v>
      </c>
      <c r="G31" s="1" t="s">
        <v>23</v>
      </c>
      <c r="H31" s="1" t="s">
        <v>283</v>
      </c>
      <c r="I31" s="1" t="s">
        <v>284</v>
      </c>
      <c r="J31" s="1" t="s">
        <v>26</v>
      </c>
    </row>
    <row r="32" spans="1:10" x14ac:dyDescent="0.25">
      <c r="A32" s="1" t="s">
        <v>112</v>
      </c>
      <c r="B32" s="1" t="s">
        <v>28</v>
      </c>
      <c r="C32" s="1" t="s">
        <v>28</v>
      </c>
      <c r="D32" s="1" t="s">
        <v>23</v>
      </c>
      <c r="E32" s="1" t="s">
        <v>22</v>
      </c>
      <c r="F32" s="1" t="s">
        <v>23</v>
      </c>
      <c r="G32" s="1" t="s">
        <v>23</v>
      </c>
      <c r="H32" s="1" t="s">
        <v>285</v>
      </c>
      <c r="I32" s="1" t="s">
        <v>286</v>
      </c>
      <c r="J32" s="1" t="s">
        <v>26</v>
      </c>
    </row>
    <row r="33" spans="1:10" x14ac:dyDescent="0.25">
      <c r="A33" s="1" t="s">
        <v>115</v>
      </c>
      <c r="B33" s="1" t="s">
        <v>28</v>
      </c>
      <c r="C33" s="1" t="s">
        <v>28</v>
      </c>
      <c r="D33" s="1" t="s">
        <v>23</v>
      </c>
      <c r="E33" s="1" t="s">
        <v>22</v>
      </c>
      <c r="F33" s="1" t="s">
        <v>23</v>
      </c>
      <c r="G33" s="1" t="s">
        <v>23</v>
      </c>
      <c r="H33" s="1" t="s">
        <v>287</v>
      </c>
      <c r="I33" s="1" t="s">
        <v>288</v>
      </c>
      <c r="J33" s="1" t="s">
        <v>26</v>
      </c>
    </row>
    <row r="34" spans="1:10" x14ac:dyDescent="0.25">
      <c r="A34" s="1" t="s">
        <v>118</v>
      </c>
      <c r="B34" s="1" t="s">
        <v>28</v>
      </c>
      <c r="C34" s="1" t="s">
        <v>28</v>
      </c>
      <c r="D34" s="1" t="s">
        <v>23</v>
      </c>
      <c r="E34" s="1" t="s">
        <v>22</v>
      </c>
      <c r="F34" s="1" t="s">
        <v>23</v>
      </c>
      <c r="G34" s="1" t="s">
        <v>23</v>
      </c>
      <c r="H34" s="1" t="s">
        <v>289</v>
      </c>
      <c r="I34" s="1" t="s">
        <v>290</v>
      </c>
      <c r="J34" s="1" t="s">
        <v>26</v>
      </c>
    </row>
    <row r="35" spans="1:10" x14ac:dyDescent="0.25">
      <c r="A35" s="1" t="s">
        <v>121</v>
      </c>
      <c r="B35" s="1" t="s">
        <v>28</v>
      </c>
      <c r="C35" s="1" t="s">
        <v>28</v>
      </c>
      <c r="D35" s="1" t="s">
        <v>23</v>
      </c>
      <c r="E35" s="1" t="s">
        <v>22</v>
      </c>
      <c r="F35" s="1" t="s">
        <v>23</v>
      </c>
      <c r="G35" s="1" t="s">
        <v>23</v>
      </c>
      <c r="H35" s="1" t="s">
        <v>291</v>
      </c>
      <c r="I35" s="1" t="s">
        <v>292</v>
      </c>
      <c r="J35" s="1" t="s">
        <v>26</v>
      </c>
    </row>
    <row r="36" spans="1:10" x14ac:dyDescent="0.25">
      <c r="A36" s="1" t="s">
        <v>124</v>
      </c>
      <c r="B36" s="1" t="s">
        <v>28</v>
      </c>
      <c r="C36" s="1" t="s">
        <v>21</v>
      </c>
      <c r="D36" s="1" t="s">
        <v>23</v>
      </c>
      <c r="E36" s="1" t="s">
        <v>22</v>
      </c>
      <c r="F36" s="1" t="s">
        <v>23</v>
      </c>
      <c r="G36" s="1" t="s">
        <v>23</v>
      </c>
      <c r="H36" s="1" t="s">
        <v>293</v>
      </c>
      <c r="I36" s="1" t="s">
        <v>294</v>
      </c>
      <c r="J36" s="1" t="s">
        <v>26</v>
      </c>
    </row>
    <row r="37" spans="1:10" x14ac:dyDescent="0.25">
      <c r="A37" s="1" t="s">
        <v>127</v>
      </c>
      <c r="B37" s="1" t="s">
        <v>28</v>
      </c>
      <c r="C37" s="1" t="s">
        <v>28</v>
      </c>
      <c r="D37" s="1" t="s">
        <v>23</v>
      </c>
      <c r="E37" s="1" t="s">
        <v>22</v>
      </c>
      <c r="F37" s="1" t="s">
        <v>23</v>
      </c>
      <c r="G37" s="1" t="s">
        <v>23</v>
      </c>
      <c r="H37" s="1" t="s">
        <v>295</v>
      </c>
      <c r="I37" s="1" t="s">
        <v>29</v>
      </c>
      <c r="J37" s="1" t="s">
        <v>26</v>
      </c>
    </row>
    <row r="38" spans="1:10" x14ac:dyDescent="0.25">
      <c r="A38" s="1" t="s">
        <v>130</v>
      </c>
      <c r="B38" s="1" t="s">
        <v>28</v>
      </c>
      <c r="C38" s="1" t="s">
        <v>28</v>
      </c>
      <c r="D38" s="1" t="s">
        <v>23</v>
      </c>
      <c r="E38" s="1" t="s">
        <v>22</v>
      </c>
      <c r="F38" s="1" t="s">
        <v>23</v>
      </c>
      <c r="G38" s="1" t="s">
        <v>23</v>
      </c>
      <c r="H38" s="1" t="s">
        <v>296</v>
      </c>
      <c r="I38" s="1" t="s">
        <v>297</v>
      </c>
      <c r="J38" s="1" t="s">
        <v>26</v>
      </c>
    </row>
    <row r="39" spans="1:10" x14ac:dyDescent="0.25">
      <c r="A39" s="1" t="s">
        <v>133</v>
      </c>
      <c r="B39" s="1" t="s">
        <v>28</v>
      </c>
      <c r="C39" s="1" t="s">
        <v>21</v>
      </c>
      <c r="D39" s="1" t="s">
        <v>23</v>
      </c>
      <c r="E39" s="1" t="s">
        <v>22</v>
      </c>
      <c r="F39" s="1" t="s">
        <v>23</v>
      </c>
      <c r="G39" s="1" t="s">
        <v>23</v>
      </c>
      <c r="H39" s="1" t="s">
        <v>298</v>
      </c>
      <c r="I39" s="1" t="s">
        <v>299</v>
      </c>
      <c r="J39" s="1" t="s">
        <v>26</v>
      </c>
    </row>
    <row r="40" spans="1:10" x14ac:dyDescent="0.25">
      <c r="A40" s="1" t="s">
        <v>136</v>
      </c>
      <c r="B40" s="1" t="s">
        <v>28</v>
      </c>
      <c r="C40" s="1" t="s">
        <v>28</v>
      </c>
      <c r="D40" s="1" t="s">
        <v>23</v>
      </c>
      <c r="E40" s="1" t="s">
        <v>22</v>
      </c>
      <c r="F40" s="1" t="s">
        <v>23</v>
      </c>
      <c r="G40" s="1" t="s">
        <v>23</v>
      </c>
      <c r="H40" s="1" t="s">
        <v>300</v>
      </c>
      <c r="I40" s="1" t="s">
        <v>301</v>
      </c>
      <c r="J40" s="1" t="s">
        <v>26</v>
      </c>
    </row>
    <row r="41" spans="1:10" x14ac:dyDescent="0.25">
      <c r="A41" s="1" t="s">
        <v>139</v>
      </c>
      <c r="B41" s="1" t="s">
        <v>28</v>
      </c>
      <c r="C41" s="1" t="s">
        <v>28</v>
      </c>
      <c r="D41" s="1" t="s">
        <v>23</v>
      </c>
      <c r="E41" s="1" t="s">
        <v>22</v>
      </c>
      <c r="F41" s="1" t="s">
        <v>23</v>
      </c>
      <c r="G41" s="1" t="s">
        <v>23</v>
      </c>
      <c r="H41" s="1" t="s">
        <v>302</v>
      </c>
      <c r="I41" s="1" t="s">
        <v>303</v>
      </c>
      <c r="J41" s="1" t="s">
        <v>26</v>
      </c>
    </row>
    <row r="42" spans="1:10" x14ac:dyDescent="0.25">
      <c r="A42" s="1" t="s">
        <v>142</v>
      </c>
      <c r="B42" s="1" t="s">
        <v>28</v>
      </c>
      <c r="C42" s="1" t="s">
        <v>28</v>
      </c>
      <c r="D42" s="1" t="s">
        <v>23</v>
      </c>
      <c r="E42" s="1" t="s">
        <v>22</v>
      </c>
      <c r="F42" s="1" t="s">
        <v>23</v>
      </c>
      <c r="G42" s="1" t="s">
        <v>23</v>
      </c>
      <c r="H42" s="1" t="s">
        <v>304</v>
      </c>
      <c r="I42" s="1" t="s">
        <v>305</v>
      </c>
      <c r="J42" s="1" t="s">
        <v>26</v>
      </c>
    </row>
    <row r="43" spans="1:10" x14ac:dyDescent="0.25">
      <c r="A43" s="1" t="s">
        <v>145</v>
      </c>
      <c r="B43" s="1" t="s">
        <v>28</v>
      </c>
      <c r="C43" s="1" t="s">
        <v>28</v>
      </c>
      <c r="D43" s="1" t="s">
        <v>23</v>
      </c>
      <c r="E43" s="1" t="s">
        <v>22</v>
      </c>
      <c r="F43" s="1" t="s">
        <v>23</v>
      </c>
      <c r="G43" s="1" t="s">
        <v>23</v>
      </c>
      <c r="H43" s="1" t="s">
        <v>306</v>
      </c>
      <c r="I43" s="1" t="s">
        <v>307</v>
      </c>
      <c r="J43" s="1" t="s">
        <v>26</v>
      </c>
    </row>
    <row r="44" spans="1:10" x14ac:dyDescent="0.25">
      <c r="A44" s="1" t="s">
        <v>148</v>
      </c>
      <c r="B44" s="1" t="s">
        <v>28</v>
      </c>
      <c r="C44" s="1" t="s">
        <v>28</v>
      </c>
      <c r="D44" s="1" t="s">
        <v>23</v>
      </c>
      <c r="E44" s="1" t="s">
        <v>22</v>
      </c>
      <c r="F44" s="1" t="s">
        <v>23</v>
      </c>
      <c r="G44" s="1" t="s">
        <v>23</v>
      </c>
      <c r="H44" s="1" t="s">
        <v>308</v>
      </c>
      <c r="I44" s="1" t="s">
        <v>309</v>
      </c>
      <c r="J44" s="1" t="s">
        <v>26</v>
      </c>
    </row>
    <row r="45" spans="1:10" x14ac:dyDescent="0.25">
      <c r="A45" s="1" t="s">
        <v>151</v>
      </c>
      <c r="B45" s="1" t="s">
        <v>28</v>
      </c>
      <c r="C45" s="1" t="s">
        <v>28</v>
      </c>
      <c r="D45" s="1" t="s">
        <v>23</v>
      </c>
      <c r="E45" s="1" t="s">
        <v>22</v>
      </c>
      <c r="F45" s="1" t="s">
        <v>23</v>
      </c>
      <c r="G45" s="1" t="s">
        <v>23</v>
      </c>
      <c r="H45" s="1" t="s">
        <v>310</v>
      </c>
      <c r="I45" s="1" t="s">
        <v>311</v>
      </c>
      <c r="J45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761B-BBE7-4ECC-B95F-143477712FE2}">
  <dimension ref="A1:O45"/>
  <sheetViews>
    <sheetView workbookViewId="0">
      <selection activeCell="M1" sqref="M1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28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465</v>
      </c>
      <c r="N2">
        <f>COUNTIFS(B:B, "CLOSED", C:C, "CLOSED")</f>
        <v>17</v>
      </c>
      <c r="O2">
        <f>COUNTIFS(B:B, "OPEN", C:C, "OPEN")</f>
        <v>23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22</v>
      </c>
      <c r="E3" s="1" t="s">
        <v>23</v>
      </c>
      <c r="F3" s="1" t="s">
        <v>23</v>
      </c>
      <c r="G3" s="1" t="s">
        <v>23</v>
      </c>
      <c r="H3" s="1" t="s">
        <v>154</v>
      </c>
      <c r="I3" s="1" t="s">
        <v>155</v>
      </c>
      <c r="J3" s="1" t="s">
        <v>26</v>
      </c>
      <c r="M3" s="2" t="s">
        <v>466</v>
      </c>
      <c r="N3">
        <f>COUNTIFS(B:B, "CLOSED")</f>
        <v>18</v>
      </c>
      <c r="O3">
        <f>COUNTIFS(B:B, "OPEN")</f>
        <v>25</v>
      </c>
    </row>
    <row r="4" spans="1:15" x14ac:dyDescent="0.25">
      <c r="A4" s="1" t="s">
        <v>27</v>
      </c>
      <c r="B4" s="1" t="s">
        <v>21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23</v>
      </c>
      <c r="H4" s="1" t="s">
        <v>156</v>
      </c>
      <c r="I4" s="1" t="s">
        <v>157</v>
      </c>
      <c r="J4" s="1" t="s">
        <v>26</v>
      </c>
      <c r="M4" s="2" t="s">
        <v>467</v>
      </c>
      <c r="N4">
        <f>N2/N3</f>
        <v>0.94444444444444442</v>
      </c>
      <c r="O4">
        <f>O2/O3</f>
        <v>0.92</v>
      </c>
    </row>
    <row r="5" spans="1:15" x14ac:dyDescent="0.25">
      <c r="A5" s="1" t="s">
        <v>31</v>
      </c>
      <c r="B5" s="1" t="s">
        <v>21</v>
      </c>
      <c r="C5" s="1" t="s">
        <v>21</v>
      </c>
      <c r="D5" s="1" t="s">
        <v>22</v>
      </c>
      <c r="E5" s="1" t="s">
        <v>23</v>
      </c>
      <c r="F5" s="1" t="s">
        <v>23</v>
      </c>
      <c r="G5" s="1" t="s">
        <v>23</v>
      </c>
      <c r="H5" s="1" t="s">
        <v>158</v>
      </c>
      <c r="I5" s="1" t="s">
        <v>159</v>
      </c>
      <c r="J5" s="1" t="s">
        <v>26</v>
      </c>
    </row>
    <row r="6" spans="1:15" x14ac:dyDescent="0.25">
      <c r="A6" s="1" t="s">
        <v>34</v>
      </c>
      <c r="B6" s="1" t="s">
        <v>21</v>
      </c>
      <c r="C6" s="1" t="s">
        <v>28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160</v>
      </c>
      <c r="I6" s="1" t="s">
        <v>161</v>
      </c>
      <c r="J6" s="1" t="s">
        <v>26</v>
      </c>
    </row>
    <row r="7" spans="1:15" x14ac:dyDescent="0.25">
      <c r="A7" s="1" t="s">
        <v>37</v>
      </c>
      <c r="B7" s="1" t="s">
        <v>21</v>
      </c>
      <c r="C7" s="1" t="s">
        <v>21</v>
      </c>
      <c r="D7" s="1" t="s">
        <v>22</v>
      </c>
      <c r="E7" s="1" t="s">
        <v>23</v>
      </c>
      <c r="F7" s="1" t="s">
        <v>23</v>
      </c>
      <c r="G7" s="1" t="s">
        <v>23</v>
      </c>
      <c r="H7" s="1" t="s">
        <v>162</v>
      </c>
      <c r="I7" s="1" t="s">
        <v>163</v>
      </c>
      <c r="J7" s="1" t="s">
        <v>26</v>
      </c>
    </row>
    <row r="8" spans="1:15" x14ac:dyDescent="0.25">
      <c r="A8" s="1" t="s">
        <v>40</v>
      </c>
      <c r="B8" s="1" t="s">
        <v>21</v>
      </c>
      <c r="C8" s="1" t="s">
        <v>21</v>
      </c>
      <c r="D8" s="1" t="s">
        <v>22</v>
      </c>
      <c r="E8" s="1" t="s">
        <v>23</v>
      </c>
      <c r="F8" s="1" t="s">
        <v>23</v>
      </c>
      <c r="G8" s="1" t="s">
        <v>23</v>
      </c>
      <c r="H8" s="1" t="s">
        <v>163</v>
      </c>
      <c r="I8" s="1" t="s">
        <v>164</v>
      </c>
      <c r="J8" s="1" t="s">
        <v>26</v>
      </c>
    </row>
    <row r="9" spans="1:15" x14ac:dyDescent="0.25">
      <c r="A9" s="1" t="s">
        <v>43</v>
      </c>
      <c r="B9" s="1" t="s">
        <v>21</v>
      </c>
      <c r="C9" s="1" t="s">
        <v>21</v>
      </c>
      <c r="D9" s="1" t="s">
        <v>22</v>
      </c>
      <c r="E9" s="1" t="s">
        <v>23</v>
      </c>
      <c r="F9" s="1" t="s">
        <v>23</v>
      </c>
      <c r="G9" s="1" t="s">
        <v>23</v>
      </c>
      <c r="H9" s="1" t="s">
        <v>165</v>
      </c>
      <c r="I9" s="1" t="s">
        <v>166</v>
      </c>
      <c r="J9" s="1" t="s">
        <v>26</v>
      </c>
    </row>
    <row r="10" spans="1:15" x14ac:dyDescent="0.25">
      <c r="A10" s="1" t="s">
        <v>46</v>
      </c>
      <c r="B10" s="1" t="s">
        <v>21</v>
      </c>
      <c r="C10" s="1" t="s">
        <v>21</v>
      </c>
      <c r="D10" s="1" t="s">
        <v>22</v>
      </c>
      <c r="E10" s="1" t="s">
        <v>23</v>
      </c>
      <c r="F10" s="1" t="s">
        <v>23</v>
      </c>
      <c r="G10" s="1" t="s">
        <v>23</v>
      </c>
      <c r="H10" s="1" t="s">
        <v>167</v>
      </c>
      <c r="I10" s="1" t="s">
        <v>168</v>
      </c>
      <c r="J10" s="1" t="s">
        <v>26</v>
      </c>
    </row>
    <row r="11" spans="1:15" x14ac:dyDescent="0.25">
      <c r="A11" s="1" t="s">
        <v>49</v>
      </c>
      <c r="B11" s="1" t="s">
        <v>21</v>
      </c>
      <c r="C11" s="1" t="s">
        <v>21</v>
      </c>
      <c r="D11" s="1" t="s">
        <v>22</v>
      </c>
      <c r="E11" s="1" t="s">
        <v>23</v>
      </c>
      <c r="F11" s="1" t="s">
        <v>23</v>
      </c>
      <c r="G11" s="1" t="s">
        <v>23</v>
      </c>
      <c r="H11" s="1" t="s">
        <v>169</v>
      </c>
      <c r="I11" s="1" t="s">
        <v>53</v>
      </c>
      <c r="J11" s="1" t="s">
        <v>26</v>
      </c>
    </row>
    <row r="12" spans="1:15" x14ac:dyDescent="0.25">
      <c r="A12" s="1" t="s">
        <v>52</v>
      </c>
      <c r="B12" s="1" t="s">
        <v>21</v>
      </c>
      <c r="C12" s="1" t="s">
        <v>21</v>
      </c>
      <c r="D12" s="1" t="s">
        <v>22</v>
      </c>
      <c r="E12" s="1" t="s">
        <v>23</v>
      </c>
      <c r="F12" s="1" t="s">
        <v>23</v>
      </c>
      <c r="G12" s="1" t="s">
        <v>23</v>
      </c>
      <c r="H12" s="1" t="s">
        <v>170</v>
      </c>
      <c r="I12" s="1" t="s">
        <v>171</v>
      </c>
      <c r="J12" s="1" t="s">
        <v>26</v>
      </c>
    </row>
    <row r="13" spans="1:15" x14ac:dyDescent="0.25">
      <c r="A13" s="1" t="s">
        <v>55</v>
      </c>
      <c r="B13" s="1" t="s">
        <v>21</v>
      </c>
      <c r="C13" s="1" t="s">
        <v>21</v>
      </c>
      <c r="D13" s="1" t="s">
        <v>22</v>
      </c>
      <c r="E13" s="1" t="s">
        <v>23</v>
      </c>
      <c r="F13" s="1" t="s">
        <v>23</v>
      </c>
      <c r="G13" s="1" t="s">
        <v>23</v>
      </c>
      <c r="H13" s="1" t="s">
        <v>172</v>
      </c>
      <c r="I13" s="1" t="s">
        <v>173</v>
      </c>
      <c r="J13" s="1" t="s">
        <v>26</v>
      </c>
    </row>
    <row r="14" spans="1:15" x14ac:dyDescent="0.25">
      <c r="A14" s="1" t="s">
        <v>58</v>
      </c>
      <c r="B14" s="1" t="s">
        <v>21</v>
      </c>
      <c r="C14" s="1" t="s">
        <v>21</v>
      </c>
      <c r="D14" s="1" t="s">
        <v>22</v>
      </c>
      <c r="E14" s="1" t="s">
        <v>23</v>
      </c>
      <c r="F14" s="1" t="s">
        <v>23</v>
      </c>
      <c r="G14" s="1" t="s">
        <v>23</v>
      </c>
      <c r="H14" s="1" t="s">
        <v>174</v>
      </c>
      <c r="I14" s="1" t="s">
        <v>175</v>
      </c>
      <c r="J14" s="1" t="s">
        <v>26</v>
      </c>
    </row>
    <row r="15" spans="1:15" x14ac:dyDescent="0.25">
      <c r="A15" s="1" t="s">
        <v>61</v>
      </c>
      <c r="B15" s="1" t="s">
        <v>21</v>
      </c>
      <c r="C15" s="1" t="s">
        <v>21</v>
      </c>
      <c r="D15" s="1" t="s">
        <v>22</v>
      </c>
      <c r="E15" s="1" t="s">
        <v>23</v>
      </c>
      <c r="F15" s="1" t="s">
        <v>23</v>
      </c>
      <c r="G15" s="1" t="s">
        <v>23</v>
      </c>
      <c r="H15" s="1" t="s">
        <v>176</v>
      </c>
      <c r="I15" s="1" t="s">
        <v>177</v>
      </c>
      <c r="J15" s="1" t="s">
        <v>26</v>
      </c>
    </row>
    <row r="16" spans="1:15" x14ac:dyDescent="0.25">
      <c r="A16" s="1" t="s">
        <v>64</v>
      </c>
      <c r="B16" s="1" t="s">
        <v>21</v>
      </c>
      <c r="C16" s="1" t="s">
        <v>21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178</v>
      </c>
      <c r="I16" s="1" t="s">
        <v>62</v>
      </c>
      <c r="J16" s="1" t="s">
        <v>26</v>
      </c>
    </row>
    <row r="17" spans="1:10" x14ac:dyDescent="0.25">
      <c r="A17" s="1" t="s">
        <v>67</v>
      </c>
      <c r="B17" s="1" t="s">
        <v>21</v>
      </c>
      <c r="C17" s="1" t="s">
        <v>21</v>
      </c>
      <c r="D17" s="1" t="s">
        <v>22</v>
      </c>
      <c r="E17" s="1" t="s">
        <v>23</v>
      </c>
      <c r="F17" s="1" t="s">
        <v>23</v>
      </c>
      <c r="G17" s="1" t="s">
        <v>23</v>
      </c>
      <c r="H17" s="1" t="s">
        <v>179</v>
      </c>
      <c r="I17" s="1" t="s">
        <v>180</v>
      </c>
      <c r="J17" s="1" t="s">
        <v>26</v>
      </c>
    </row>
    <row r="18" spans="1:10" x14ac:dyDescent="0.25">
      <c r="A18" s="1" t="s">
        <v>70</v>
      </c>
      <c r="B18" s="1" t="s">
        <v>21</v>
      </c>
      <c r="C18" s="1" t="s">
        <v>21</v>
      </c>
      <c r="D18" s="1" t="s">
        <v>22</v>
      </c>
      <c r="E18" s="1" t="s">
        <v>23</v>
      </c>
      <c r="F18" s="1" t="s">
        <v>23</v>
      </c>
      <c r="G18" s="1" t="s">
        <v>23</v>
      </c>
      <c r="H18" s="1" t="s">
        <v>181</v>
      </c>
      <c r="I18" s="1" t="s">
        <v>182</v>
      </c>
      <c r="J18" s="1" t="s">
        <v>26</v>
      </c>
    </row>
    <row r="19" spans="1:10" x14ac:dyDescent="0.25">
      <c r="A19" s="1" t="s">
        <v>73</v>
      </c>
      <c r="B19" s="1" t="s">
        <v>21</v>
      </c>
      <c r="C19" s="1" t="s">
        <v>21</v>
      </c>
      <c r="D19" s="1" t="s">
        <v>22</v>
      </c>
      <c r="E19" s="1" t="s">
        <v>23</v>
      </c>
      <c r="F19" s="1" t="s">
        <v>23</v>
      </c>
      <c r="G19" s="1" t="s">
        <v>23</v>
      </c>
      <c r="H19" s="1" t="s">
        <v>183</v>
      </c>
      <c r="I19" s="1" t="s">
        <v>184</v>
      </c>
      <c r="J19" s="1" t="s">
        <v>26</v>
      </c>
    </row>
    <row r="20" spans="1:10" x14ac:dyDescent="0.25">
      <c r="A20" s="1" t="s">
        <v>76</v>
      </c>
      <c r="B20" s="1" t="s">
        <v>21</v>
      </c>
      <c r="C20" s="1" t="s">
        <v>21</v>
      </c>
      <c r="D20" s="1" t="s">
        <v>22</v>
      </c>
      <c r="E20" s="1" t="s">
        <v>23</v>
      </c>
      <c r="F20" s="1" t="s">
        <v>23</v>
      </c>
      <c r="G20" s="1" t="s">
        <v>23</v>
      </c>
      <c r="H20" s="1" t="s">
        <v>177</v>
      </c>
      <c r="I20" s="1" t="s">
        <v>185</v>
      </c>
      <c r="J20" s="1" t="s">
        <v>26</v>
      </c>
    </row>
    <row r="21" spans="1:10" x14ac:dyDescent="0.25">
      <c r="A21" s="1" t="s">
        <v>79</v>
      </c>
      <c r="B21" s="1" t="s">
        <v>28</v>
      </c>
      <c r="C21" s="1" t="s">
        <v>28</v>
      </c>
      <c r="D21" s="1" t="s">
        <v>22</v>
      </c>
      <c r="E21" s="1" t="s">
        <v>23</v>
      </c>
      <c r="F21" s="1" t="s">
        <v>23</v>
      </c>
      <c r="G21" s="1" t="s">
        <v>23</v>
      </c>
      <c r="H21" s="1" t="s">
        <v>186</v>
      </c>
      <c r="I21" s="1" t="s">
        <v>187</v>
      </c>
      <c r="J21" s="1" t="s">
        <v>26</v>
      </c>
    </row>
    <row r="22" spans="1:10" x14ac:dyDescent="0.25">
      <c r="A22" s="1" t="s">
        <v>82</v>
      </c>
      <c r="B22" s="1" t="s">
        <v>28</v>
      </c>
      <c r="C22" s="1" t="s">
        <v>28</v>
      </c>
      <c r="D22" s="1" t="s">
        <v>22</v>
      </c>
      <c r="E22" s="1" t="s">
        <v>23</v>
      </c>
      <c r="F22" s="1" t="s">
        <v>23</v>
      </c>
      <c r="G22" s="1" t="s">
        <v>23</v>
      </c>
      <c r="H22" s="1" t="s">
        <v>188</v>
      </c>
      <c r="I22" s="1" t="s">
        <v>189</v>
      </c>
      <c r="J22" s="1" t="s">
        <v>26</v>
      </c>
    </row>
    <row r="23" spans="1:10" x14ac:dyDescent="0.25">
      <c r="A23" s="1" t="s">
        <v>85</v>
      </c>
      <c r="B23" s="1" t="s">
        <v>28</v>
      </c>
      <c r="C23" s="1" t="s">
        <v>28</v>
      </c>
      <c r="D23" s="1" t="s">
        <v>22</v>
      </c>
      <c r="E23" s="1" t="s">
        <v>23</v>
      </c>
      <c r="F23" s="1" t="s">
        <v>23</v>
      </c>
      <c r="G23" s="1" t="s">
        <v>23</v>
      </c>
      <c r="H23" s="1" t="s">
        <v>190</v>
      </c>
      <c r="I23" s="1" t="s">
        <v>105</v>
      </c>
      <c r="J23" s="1" t="s">
        <v>26</v>
      </c>
    </row>
    <row r="24" spans="1:10" x14ac:dyDescent="0.25">
      <c r="A24" s="1" t="s">
        <v>88</v>
      </c>
      <c r="B24" s="1" t="s">
        <v>28</v>
      </c>
      <c r="C24" s="1" t="s">
        <v>21</v>
      </c>
      <c r="D24" s="1" t="s">
        <v>22</v>
      </c>
      <c r="E24" s="1" t="s">
        <v>23</v>
      </c>
      <c r="F24" s="1" t="s">
        <v>23</v>
      </c>
      <c r="G24" s="1" t="s">
        <v>23</v>
      </c>
      <c r="H24" s="1" t="s">
        <v>191</v>
      </c>
      <c r="I24" s="1" t="s">
        <v>192</v>
      </c>
      <c r="J24" s="1" t="s">
        <v>26</v>
      </c>
    </row>
    <row r="25" spans="1:10" x14ac:dyDescent="0.25">
      <c r="A25" s="1" t="s">
        <v>91</v>
      </c>
      <c r="B25" s="1" t="s">
        <v>28</v>
      </c>
      <c r="C25" s="1" t="s">
        <v>28</v>
      </c>
      <c r="D25" s="1" t="s">
        <v>22</v>
      </c>
      <c r="E25" s="1" t="s">
        <v>23</v>
      </c>
      <c r="F25" s="1" t="s">
        <v>23</v>
      </c>
      <c r="G25" s="1" t="s">
        <v>23</v>
      </c>
      <c r="H25" s="1" t="s">
        <v>193</v>
      </c>
      <c r="I25" s="1" t="s">
        <v>194</v>
      </c>
      <c r="J25" s="1" t="s">
        <v>26</v>
      </c>
    </row>
    <row r="26" spans="1:10" x14ac:dyDescent="0.25">
      <c r="A26" s="1" t="s">
        <v>94</v>
      </c>
      <c r="B26" s="1" t="s">
        <v>28</v>
      </c>
      <c r="C26" s="1" t="s">
        <v>28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195</v>
      </c>
      <c r="I26" s="1" t="s">
        <v>196</v>
      </c>
      <c r="J26" s="1" t="s">
        <v>26</v>
      </c>
    </row>
    <row r="27" spans="1:10" x14ac:dyDescent="0.25">
      <c r="A27" s="1" t="s">
        <v>97</v>
      </c>
      <c r="B27" s="1" t="s">
        <v>28</v>
      </c>
      <c r="C27" s="1" t="s">
        <v>28</v>
      </c>
      <c r="D27" s="1" t="s">
        <v>22</v>
      </c>
      <c r="E27" s="1" t="s">
        <v>23</v>
      </c>
      <c r="F27" s="1" t="s">
        <v>23</v>
      </c>
      <c r="G27" s="1" t="s">
        <v>23</v>
      </c>
      <c r="H27" s="1" t="s">
        <v>197</v>
      </c>
      <c r="I27" s="1" t="s">
        <v>198</v>
      </c>
      <c r="J27" s="1" t="s">
        <v>26</v>
      </c>
    </row>
    <row r="28" spans="1:10" x14ac:dyDescent="0.25">
      <c r="A28" s="1" t="s">
        <v>100</v>
      </c>
      <c r="B28" s="1" t="s">
        <v>28</v>
      </c>
      <c r="C28" s="1" t="s">
        <v>28</v>
      </c>
      <c r="D28" s="1" t="s">
        <v>22</v>
      </c>
      <c r="E28" s="1" t="s">
        <v>23</v>
      </c>
      <c r="F28" s="1" t="s">
        <v>23</v>
      </c>
      <c r="G28" s="1" t="s">
        <v>23</v>
      </c>
      <c r="H28" s="1" t="s">
        <v>199</v>
      </c>
      <c r="I28" s="1" t="s">
        <v>200</v>
      </c>
      <c r="J28" s="1" t="s">
        <v>26</v>
      </c>
    </row>
    <row r="29" spans="1:10" x14ac:dyDescent="0.25">
      <c r="A29" s="1" t="s">
        <v>103</v>
      </c>
      <c r="B29" s="1" t="s">
        <v>28</v>
      </c>
      <c r="C29" s="1" t="s">
        <v>28</v>
      </c>
      <c r="D29" s="1" t="s">
        <v>22</v>
      </c>
      <c r="E29" s="1" t="s">
        <v>23</v>
      </c>
      <c r="F29" s="1" t="s">
        <v>23</v>
      </c>
      <c r="G29" s="1" t="s">
        <v>23</v>
      </c>
      <c r="H29" s="1" t="s">
        <v>201</v>
      </c>
      <c r="I29" s="1" t="s">
        <v>123</v>
      </c>
      <c r="J29" s="1" t="s">
        <v>26</v>
      </c>
    </row>
    <row r="30" spans="1:10" x14ac:dyDescent="0.25">
      <c r="A30" s="1" t="s">
        <v>106</v>
      </c>
      <c r="B30" s="1" t="s">
        <v>28</v>
      </c>
      <c r="C30" s="1" t="s">
        <v>28</v>
      </c>
      <c r="D30" s="1" t="s">
        <v>22</v>
      </c>
      <c r="E30" s="1" t="s">
        <v>23</v>
      </c>
      <c r="F30" s="1" t="s">
        <v>23</v>
      </c>
      <c r="G30" s="1" t="s">
        <v>23</v>
      </c>
      <c r="H30" s="1" t="s">
        <v>202</v>
      </c>
      <c r="I30" s="1" t="s">
        <v>203</v>
      </c>
      <c r="J30" s="1" t="s">
        <v>26</v>
      </c>
    </row>
    <row r="31" spans="1:10" x14ac:dyDescent="0.25">
      <c r="A31" s="1" t="s">
        <v>109</v>
      </c>
      <c r="B31" s="1" t="s">
        <v>28</v>
      </c>
      <c r="C31" s="1" t="s">
        <v>28</v>
      </c>
      <c r="D31" s="1" t="s">
        <v>22</v>
      </c>
      <c r="E31" s="1" t="s">
        <v>23</v>
      </c>
      <c r="F31" s="1" t="s">
        <v>23</v>
      </c>
      <c r="G31" s="1" t="s">
        <v>23</v>
      </c>
      <c r="H31" s="1" t="s">
        <v>35</v>
      </c>
      <c r="I31" s="1" t="s">
        <v>204</v>
      </c>
      <c r="J31" s="1" t="s">
        <v>26</v>
      </c>
    </row>
    <row r="32" spans="1:10" x14ac:dyDescent="0.25">
      <c r="A32" s="1" t="s">
        <v>112</v>
      </c>
      <c r="B32" s="1" t="s">
        <v>28</v>
      </c>
      <c r="C32" s="1" t="s">
        <v>28</v>
      </c>
      <c r="D32" s="1" t="s">
        <v>22</v>
      </c>
      <c r="E32" s="1" t="s">
        <v>23</v>
      </c>
      <c r="F32" s="1" t="s">
        <v>23</v>
      </c>
      <c r="G32" s="1" t="s">
        <v>23</v>
      </c>
      <c r="H32" s="1" t="s">
        <v>205</v>
      </c>
      <c r="I32" s="1" t="s">
        <v>206</v>
      </c>
      <c r="J32" s="1" t="s">
        <v>26</v>
      </c>
    </row>
    <row r="33" spans="1:10" x14ac:dyDescent="0.25">
      <c r="A33" s="1" t="s">
        <v>115</v>
      </c>
      <c r="B33" s="1" t="s">
        <v>28</v>
      </c>
      <c r="C33" s="1" t="s">
        <v>28</v>
      </c>
      <c r="D33" s="1" t="s">
        <v>22</v>
      </c>
      <c r="E33" s="1" t="s">
        <v>23</v>
      </c>
      <c r="F33" s="1" t="s">
        <v>23</v>
      </c>
      <c r="G33" s="1" t="s">
        <v>23</v>
      </c>
      <c r="H33" s="1" t="s">
        <v>207</v>
      </c>
      <c r="I33" s="1" t="s">
        <v>208</v>
      </c>
      <c r="J33" s="1" t="s">
        <v>26</v>
      </c>
    </row>
    <row r="34" spans="1:10" x14ac:dyDescent="0.25">
      <c r="A34" s="1" t="s">
        <v>118</v>
      </c>
      <c r="B34" s="1" t="s">
        <v>28</v>
      </c>
      <c r="C34" s="1" t="s">
        <v>28</v>
      </c>
      <c r="D34" s="1" t="s">
        <v>22</v>
      </c>
      <c r="E34" s="1" t="s">
        <v>23</v>
      </c>
      <c r="F34" s="1" t="s">
        <v>23</v>
      </c>
      <c r="G34" s="1" t="s">
        <v>23</v>
      </c>
      <c r="H34" s="1" t="s">
        <v>209</v>
      </c>
      <c r="I34" s="1" t="s">
        <v>210</v>
      </c>
      <c r="J34" s="1" t="s">
        <v>26</v>
      </c>
    </row>
    <row r="35" spans="1:10" x14ac:dyDescent="0.25">
      <c r="A35" s="1" t="s">
        <v>121</v>
      </c>
      <c r="B35" s="1" t="s">
        <v>28</v>
      </c>
      <c r="C35" s="1" t="s">
        <v>28</v>
      </c>
      <c r="D35" s="1" t="s">
        <v>22</v>
      </c>
      <c r="E35" s="1" t="s">
        <v>23</v>
      </c>
      <c r="F35" s="1" t="s">
        <v>23</v>
      </c>
      <c r="G35" s="1" t="s">
        <v>23</v>
      </c>
      <c r="H35" s="1" t="s">
        <v>211</v>
      </c>
      <c r="I35" s="1" t="s">
        <v>212</v>
      </c>
      <c r="J35" s="1" t="s">
        <v>26</v>
      </c>
    </row>
    <row r="36" spans="1:10" x14ac:dyDescent="0.25">
      <c r="A36" s="1" t="s">
        <v>124</v>
      </c>
      <c r="B36" s="1" t="s">
        <v>28</v>
      </c>
      <c r="C36" s="1" t="s">
        <v>21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213</v>
      </c>
      <c r="I36" s="1" t="s">
        <v>214</v>
      </c>
      <c r="J36" s="1" t="s">
        <v>26</v>
      </c>
    </row>
    <row r="37" spans="1:10" x14ac:dyDescent="0.25">
      <c r="A37" s="1" t="s">
        <v>127</v>
      </c>
      <c r="B37" s="1" t="s">
        <v>28</v>
      </c>
      <c r="C37" s="1" t="s">
        <v>28</v>
      </c>
      <c r="D37" s="1" t="s">
        <v>22</v>
      </c>
      <c r="E37" s="1" t="s">
        <v>23</v>
      </c>
      <c r="F37" s="1" t="s">
        <v>23</v>
      </c>
      <c r="G37" s="1" t="s">
        <v>23</v>
      </c>
      <c r="H37" s="1" t="s">
        <v>215</v>
      </c>
      <c r="I37" s="1" t="s">
        <v>216</v>
      </c>
      <c r="J37" s="1" t="s">
        <v>26</v>
      </c>
    </row>
    <row r="38" spans="1:10" x14ac:dyDescent="0.25">
      <c r="A38" s="1" t="s">
        <v>130</v>
      </c>
      <c r="B38" s="1" t="s">
        <v>28</v>
      </c>
      <c r="C38" s="1" t="s">
        <v>28</v>
      </c>
      <c r="D38" s="1" t="s">
        <v>22</v>
      </c>
      <c r="E38" s="1" t="s">
        <v>23</v>
      </c>
      <c r="F38" s="1" t="s">
        <v>23</v>
      </c>
      <c r="G38" s="1" t="s">
        <v>23</v>
      </c>
      <c r="H38" s="1" t="s">
        <v>217</v>
      </c>
      <c r="I38" s="1" t="s">
        <v>218</v>
      </c>
      <c r="J38" s="1" t="s">
        <v>26</v>
      </c>
    </row>
    <row r="39" spans="1:10" x14ac:dyDescent="0.25">
      <c r="A39" s="1" t="s">
        <v>133</v>
      </c>
      <c r="B39" s="1" t="s">
        <v>28</v>
      </c>
      <c r="C39" s="1" t="s">
        <v>28</v>
      </c>
      <c r="D39" s="1" t="s">
        <v>22</v>
      </c>
      <c r="E39" s="1" t="s">
        <v>23</v>
      </c>
      <c r="F39" s="1" t="s">
        <v>23</v>
      </c>
      <c r="G39" s="1" t="s">
        <v>23</v>
      </c>
      <c r="H39" s="1" t="s">
        <v>219</v>
      </c>
      <c r="I39" s="1" t="s">
        <v>220</v>
      </c>
      <c r="J39" s="1" t="s">
        <v>26</v>
      </c>
    </row>
    <row r="40" spans="1:10" x14ac:dyDescent="0.25">
      <c r="A40" s="1" t="s">
        <v>136</v>
      </c>
      <c r="B40" s="1" t="s">
        <v>28</v>
      </c>
      <c r="C40" s="1" t="s">
        <v>28</v>
      </c>
      <c r="D40" s="1" t="s">
        <v>22</v>
      </c>
      <c r="E40" s="1" t="s">
        <v>23</v>
      </c>
      <c r="F40" s="1" t="s">
        <v>23</v>
      </c>
      <c r="G40" s="1" t="s">
        <v>23</v>
      </c>
      <c r="H40" s="1" t="s">
        <v>221</v>
      </c>
      <c r="I40" s="1" t="s">
        <v>222</v>
      </c>
      <c r="J40" s="1" t="s">
        <v>26</v>
      </c>
    </row>
    <row r="41" spans="1:10" x14ac:dyDescent="0.25">
      <c r="A41" s="1" t="s">
        <v>139</v>
      </c>
      <c r="B41" s="1" t="s">
        <v>28</v>
      </c>
      <c r="C41" s="1" t="s">
        <v>28</v>
      </c>
      <c r="D41" s="1" t="s">
        <v>22</v>
      </c>
      <c r="E41" s="1" t="s">
        <v>23</v>
      </c>
      <c r="F41" s="1" t="s">
        <v>23</v>
      </c>
      <c r="G41" s="1" t="s">
        <v>23</v>
      </c>
      <c r="H41" s="1" t="s">
        <v>223</v>
      </c>
      <c r="I41" s="1" t="s">
        <v>224</v>
      </c>
      <c r="J41" s="1" t="s">
        <v>26</v>
      </c>
    </row>
    <row r="42" spans="1:10" x14ac:dyDescent="0.25">
      <c r="A42" s="1" t="s">
        <v>142</v>
      </c>
      <c r="B42" s="1" t="s">
        <v>28</v>
      </c>
      <c r="C42" s="1" t="s">
        <v>28</v>
      </c>
      <c r="D42" s="1" t="s">
        <v>22</v>
      </c>
      <c r="E42" s="1" t="s">
        <v>23</v>
      </c>
      <c r="F42" s="1" t="s">
        <v>23</v>
      </c>
      <c r="G42" s="1" t="s">
        <v>23</v>
      </c>
      <c r="H42" s="1" t="s">
        <v>225</v>
      </c>
      <c r="I42" s="1" t="s">
        <v>226</v>
      </c>
      <c r="J42" s="1" t="s">
        <v>26</v>
      </c>
    </row>
    <row r="43" spans="1:10" x14ac:dyDescent="0.25">
      <c r="A43" s="1" t="s">
        <v>145</v>
      </c>
      <c r="B43" s="1" t="s">
        <v>28</v>
      </c>
      <c r="C43" s="1" t="s">
        <v>28</v>
      </c>
      <c r="D43" s="1" t="s">
        <v>22</v>
      </c>
      <c r="E43" s="1" t="s">
        <v>23</v>
      </c>
      <c r="F43" s="1" t="s">
        <v>23</v>
      </c>
      <c r="G43" s="1" t="s">
        <v>23</v>
      </c>
      <c r="H43" s="1" t="s">
        <v>227</v>
      </c>
      <c r="I43" s="1" t="s">
        <v>228</v>
      </c>
      <c r="J43" s="1" t="s">
        <v>26</v>
      </c>
    </row>
    <row r="44" spans="1:10" x14ac:dyDescent="0.25">
      <c r="A44" s="1" t="s">
        <v>148</v>
      </c>
      <c r="B44" s="1" t="s">
        <v>28</v>
      </c>
      <c r="C44" s="1" t="s">
        <v>28</v>
      </c>
      <c r="D44" s="1" t="s">
        <v>22</v>
      </c>
      <c r="E44" s="1" t="s">
        <v>23</v>
      </c>
      <c r="F44" s="1" t="s">
        <v>23</v>
      </c>
      <c r="G44" s="1" t="s">
        <v>23</v>
      </c>
      <c r="H44" s="1" t="s">
        <v>229</v>
      </c>
      <c r="I44" s="1" t="s">
        <v>230</v>
      </c>
      <c r="J44" s="1" t="s">
        <v>26</v>
      </c>
    </row>
    <row r="45" spans="1:10" x14ac:dyDescent="0.25">
      <c r="A45" s="1" t="s">
        <v>151</v>
      </c>
      <c r="B45" s="1" t="s">
        <v>28</v>
      </c>
      <c r="C45" s="1" t="s">
        <v>28</v>
      </c>
      <c r="D45" s="1" t="s">
        <v>22</v>
      </c>
      <c r="E45" s="1" t="s">
        <v>23</v>
      </c>
      <c r="F45" s="1" t="s">
        <v>23</v>
      </c>
      <c r="G45" s="1" t="s">
        <v>23</v>
      </c>
      <c r="H45" s="1" t="s">
        <v>231</v>
      </c>
      <c r="I45" s="1" t="s">
        <v>232</v>
      </c>
      <c r="J45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E0A5-E5F9-42C6-9E8D-0BFEFABB432D}">
  <dimension ref="A1:O45"/>
  <sheetViews>
    <sheetView workbookViewId="0">
      <selection activeCell="N2" sqref="N2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28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465</v>
      </c>
      <c r="N2">
        <f>COUNTIFS(B:B, "CLOSED", C:C, "CLOSED")</f>
        <v>16</v>
      </c>
      <c r="O2">
        <f>COUNTIFS(B:B, "OPEN", C:C, "OPEN")</f>
        <v>22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22</v>
      </c>
      <c r="E3" s="1" t="s">
        <v>22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M3" s="2" t="s">
        <v>466</v>
      </c>
      <c r="N3">
        <f>COUNTIFS(B:B, "CLOSED")</f>
        <v>18</v>
      </c>
      <c r="O3">
        <f>COUNTIFS(B:B, "OPEN")</f>
        <v>25</v>
      </c>
    </row>
    <row r="4" spans="1:15" x14ac:dyDescent="0.25">
      <c r="A4" s="1" t="s">
        <v>27</v>
      </c>
      <c r="B4" s="1" t="s">
        <v>21</v>
      </c>
      <c r="C4" s="1" t="s">
        <v>28</v>
      </c>
      <c r="D4" s="1" t="s">
        <v>22</v>
      </c>
      <c r="E4" s="1" t="s">
        <v>22</v>
      </c>
      <c r="F4" s="1" t="s">
        <v>22</v>
      </c>
      <c r="G4" s="1" t="s">
        <v>23</v>
      </c>
      <c r="H4" s="1" t="s">
        <v>29</v>
      </c>
      <c r="I4" s="1" t="s">
        <v>30</v>
      </c>
      <c r="J4" s="1" t="s">
        <v>26</v>
      </c>
      <c r="M4" s="2" t="s">
        <v>467</v>
      </c>
      <c r="N4">
        <f>N2/N3</f>
        <v>0.88888888888888884</v>
      </c>
      <c r="O4">
        <f>O2/O3</f>
        <v>0.88</v>
      </c>
    </row>
    <row r="5" spans="1:15" x14ac:dyDescent="0.25">
      <c r="A5" s="1" t="s">
        <v>31</v>
      </c>
      <c r="B5" s="1" t="s">
        <v>21</v>
      </c>
      <c r="C5" s="1" t="s">
        <v>21</v>
      </c>
      <c r="D5" s="1" t="s">
        <v>22</v>
      </c>
      <c r="E5" s="1" t="s">
        <v>22</v>
      </c>
      <c r="F5" s="1" t="s">
        <v>22</v>
      </c>
      <c r="G5" s="1" t="s">
        <v>23</v>
      </c>
      <c r="H5" s="1" t="s">
        <v>32</v>
      </c>
      <c r="I5" s="1" t="s">
        <v>33</v>
      </c>
      <c r="J5" s="1" t="s">
        <v>26</v>
      </c>
    </row>
    <row r="6" spans="1:15" x14ac:dyDescent="0.25">
      <c r="A6" s="1" t="s">
        <v>34</v>
      </c>
      <c r="B6" s="1" t="s">
        <v>21</v>
      </c>
      <c r="C6" s="1" t="s">
        <v>28</v>
      </c>
      <c r="D6" s="1" t="s">
        <v>22</v>
      </c>
      <c r="E6" s="1" t="s">
        <v>22</v>
      </c>
      <c r="F6" s="1" t="s">
        <v>22</v>
      </c>
      <c r="G6" s="1" t="s">
        <v>23</v>
      </c>
      <c r="H6" s="1" t="s">
        <v>35</v>
      </c>
      <c r="I6" s="1" t="s">
        <v>36</v>
      </c>
      <c r="J6" s="1" t="s">
        <v>26</v>
      </c>
    </row>
    <row r="7" spans="1:15" x14ac:dyDescent="0.25">
      <c r="A7" s="1" t="s">
        <v>37</v>
      </c>
      <c r="B7" s="1" t="s">
        <v>21</v>
      </c>
      <c r="C7" s="1" t="s">
        <v>21</v>
      </c>
      <c r="D7" s="1" t="s">
        <v>22</v>
      </c>
      <c r="E7" s="1" t="s">
        <v>22</v>
      </c>
      <c r="F7" s="1" t="s">
        <v>22</v>
      </c>
      <c r="G7" s="1" t="s">
        <v>23</v>
      </c>
      <c r="H7" s="1" t="s">
        <v>38</v>
      </c>
      <c r="I7" s="1" t="s">
        <v>39</v>
      </c>
      <c r="J7" s="1" t="s">
        <v>26</v>
      </c>
    </row>
    <row r="8" spans="1:15" x14ac:dyDescent="0.25">
      <c r="A8" s="1" t="s">
        <v>40</v>
      </c>
      <c r="B8" s="1" t="s">
        <v>21</v>
      </c>
      <c r="C8" s="1" t="s">
        <v>21</v>
      </c>
      <c r="D8" s="1" t="s">
        <v>22</v>
      </c>
      <c r="E8" s="1" t="s">
        <v>22</v>
      </c>
      <c r="F8" s="1" t="s">
        <v>22</v>
      </c>
      <c r="G8" s="1" t="s">
        <v>23</v>
      </c>
      <c r="H8" s="1" t="s">
        <v>41</v>
      </c>
      <c r="I8" s="1" t="s">
        <v>42</v>
      </c>
      <c r="J8" s="1" t="s">
        <v>26</v>
      </c>
    </row>
    <row r="9" spans="1:15" x14ac:dyDescent="0.25">
      <c r="A9" s="1" t="s">
        <v>43</v>
      </c>
      <c r="B9" s="1" t="s">
        <v>21</v>
      </c>
      <c r="C9" s="1" t="s">
        <v>21</v>
      </c>
      <c r="D9" s="1" t="s">
        <v>22</v>
      </c>
      <c r="E9" s="1" t="s">
        <v>22</v>
      </c>
      <c r="F9" s="1" t="s">
        <v>22</v>
      </c>
      <c r="G9" s="1" t="s">
        <v>23</v>
      </c>
      <c r="H9" s="1" t="s">
        <v>44</v>
      </c>
      <c r="I9" s="1" t="s">
        <v>45</v>
      </c>
      <c r="J9" s="1" t="s">
        <v>26</v>
      </c>
    </row>
    <row r="10" spans="1:15" x14ac:dyDescent="0.25">
      <c r="A10" s="1" t="s">
        <v>46</v>
      </c>
      <c r="B10" s="1" t="s">
        <v>21</v>
      </c>
      <c r="C10" s="1" t="s">
        <v>21</v>
      </c>
      <c r="D10" s="1" t="s">
        <v>22</v>
      </c>
      <c r="E10" s="1" t="s">
        <v>22</v>
      </c>
      <c r="F10" s="1" t="s">
        <v>22</v>
      </c>
      <c r="G10" s="1" t="s">
        <v>23</v>
      </c>
      <c r="H10" s="1" t="s">
        <v>47</v>
      </c>
      <c r="I10" s="1" t="s">
        <v>48</v>
      </c>
      <c r="J10" s="1" t="s">
        <v>26</v>
      </c>
    </row>
    <row r="11" spans="1:15" x14ac:dyDescent="0.25">
      <c r="A11" s="1" t="s">
        <v>49</v>
      </c>
      <c r="B11" s="1" t="s">
        <v>21</v>
      </c>
      <c r="C11" s="1" t="s">
        <v>21</v>
      </c>
      <c r="D11" s="1" t="s">
        <v>22</v>
      </c>
      <c r="E11" s="1" t="s">
        <v>22</v>
      </c>
      <c r="F11" s="1" t="s">
        <v>22</v>
      </c>
      <c r="G11" s="1" t="s">
        <v>23</v>
      </c>
      <c r="H11" s="1" t="s">
        <v>50</v>
      </c>
      <c r="I11" s="1" t="s">
        <v>51</v>
      </c>
      <c r="J11" s="1" t="s">
        <v>26</v>
      </c>
    </row>
    <row r="12" spans="1:15" x14ac:dyDescent="0.25">
      <c r="A12" s="1" t="s">
        <v>52</v>
      </c>
      <c r="B12" s="1" t="s">
        <v>21</v>
      </c>
      <c r="C12" s="1" t="s">
        <v>21</v>
      </c>
      <c r="D12" s="1" t="s">
        <v>22</v>
      </c>
      <c r="E12" s="1" t="s">
        <v>22</v>
      </c>
      <c r="F12" s="1" t="s">
        <v>22</v>
      </c>
      <c r="G12" s="1" t="s">
        <v>23</v>
      </c>
      <c r="H12" s="1" t="s">
        <v>53</v>
      </c>
      <c r="I12" s="1" t="s">
        <v>54</v>
      </c>
      <c r="J12" s="1" t="s">
        <v>26</v>
      </c>
    </row>
    <row r="13" spans="1:15" x14ac:dyDescent="0.25">
      <c r="A13" s="1" t="s">
        <v>55</v>
      </c>
      <c r="B13" s="1" t="s">
        <v>21</v>
      </c>
      <c r="C13" s="1" t="s">
        <v>21</v>
      </c>
      <c r="D13" s="1" t="s">
        <v>22</v>
      </c>
      <c r="E13" s="1" t="s">
        <v>22</v>
      </c>
      <c r="F13" s="1" t="s">
        <v>22</v>
      </c>
      <c r="G13" s="1" t="s">
        <v>23</v>
      </c>
      <c r="H13" s="1" t="s">
        <v>56</v>
      </c>
      <c r="I13" s="1" t="s">
        <v>57</v>
      </c>
      <c r="J13" s="1" t="s">
        <v>26</v>
      </c>
    </row>
    <row r="14" spans="1:15" x14ac:dyDescent="0.25">
      <c r="A14" s="1" t="s">
        <v>58</v>
      </c>
      <c r="B14" s="1" t="s">
        <v>21</v>
      </c>
      <c r="C14" s="1" t="s">
        <v>21</v>
      </c>
      <c r="D14" s="1" t="s">
        <v>22</v>
      </c>
      <c r="E14" s="1" t="s">
        <v>22</v>
      </c>
      <c r="F14" s="1" t="s">
        <v>22</v>
      </c>
      <c r="G14" s="1" t="s">
        <v>23</v>
      </c>
      <c r="H14" s="1" t="s">
        <v>59</v>
      </c>
      <c r="I14" s="1" t="s">
        <v>60</v>
      </c>
      <c r="J14" s="1" t="s">
        <v>26</v>
      </c>
    </row>
    <row r="15" spans="1:15" x14ac:dyDescent="0.25">
      <c r="A15" s="1" t="s">
        <v>61</v>
      </c>
      <c r="B15" s="1" t="s">
        <v>21</v>
      </c>
      <c r="C15" s="1" t="s">
        <v>21</v>
      </c>
      <c r="D15" s="1" t="s">
        <v>22</v>
      </c>
      <c r="E15" s="1" t="s">
        <v>22</v>
      </c>
      <c r="F15" s="1" t="s">
        <v>22</v>
      </c>
      <c r="G15" s="1" t="s">
        <v>23</v>
      </c>
      <c r="H15" s="1" t="s">
        <v>62</v>
      </c>
      <c r="I15" s="1" t="s">
        <v>63</v>
      </c>
      <c r="J15" s="1" t="s">
        <v>26</v>
      </c>
    </row>
    <row r="16" spans="1:15" x14ac:dyDescent="0.25">
      <c r="A16" s="1" t="s">
        <v>64</v>
      </c>
      <c r="B16" s="1" t="s">
        <v>21</v>
      </c>
      <c r="C16" s="1" t="s">
        <v>21</v>
      </c>
      <c r="D16" s="1" t="s">
        <v>22</v>
      </c>
      <c r="E16" s="1" t="s">
        <v>22</v>
      </c>
      <c r="F16" s="1" t="s">
        <v>22</v>
      </c>
      <c r="G16" s="1" t="s">
        <v>23</v>
      </c>
      <c r="H16" s="1" t="s">
        <v>65</v>
      </c>
      <c r="I16" s="1" t="s">
        <v>66</v>
      </c>
      <c r="J16" s="1" t="s">
        <v>26</v>
      </c>
    </row>
    <row r="17" spans="1:10" x14ac:dyDescent="0.25">
      <c r="A17" s="1" t="s">
        <v>67</v>
      </c>
      <c r="B17" s="1" t="s">
        <v>21</v>
      </c>
      <c r="C17" s="1" t="s">
        <v>21</v>
      </c>
      <c r="D17" s="1" t="s">
        <v>22</v>
      </c>
      <c r="E17" s="1" t="s">
        <v>22</v>
      </c>
      <c r="F17" s="1" t="s">
        <v>22</v>
      </c>
      <c r="G17" s="1" t="s">
        <v>23</v>
      </c>
      <c r="H17" s="1" t="s">
        <v>68</v>
      </c>
      <c r="I17" s="1" t="s">
        <v>69</v>
      </c>
      <c r="J17" s="1" t="s">
        <v>26</v>
      </c>
    </row>
    <row r="18" spans="1:10" x14ac:dyDescent="0.25">
      <c r="A18" s="1" t="s">
        <v>70</v>
      </c>
      <c r="B18" s="1" t="s">
        <v>21</v>
      </c>
      <c r="C18" s="1" t="s">
        <v>21</v>
      </c>
      <c r="D18" s="1" t="s">
        <v>22</v>
      </c>
      <c r="E18" s="1" t="s">
        <v>22</v>
      </c>
      <c r="F18" s="1" t="s">
        <v>22</v>
      </c>
      <c r="G18" s="1" t="s">
        <v>23</v>
      </c>
      <c r="H18" s="1" t="s">
        <v>71</v>
      </c>
      <c r="I18" s="1" t="s">
        <v>72</v>
      </c>
      <c r="J18" s="1" t="s">
        <v>26</v>
      </c>
    </row>
    <row r="19" spans="1:10" x14ac:dyDescent="0.25">
      <c r="A19" s="1" t="s">
        <v>73</v>
      </c>
      <c r="B19" s="1" t="s">
        <v>21</v>
      </c>
      <c r="C19" s="1" t="s">
        <v>21</v>
      </c>
      <c r="D19" s="1" t="s">
        <v>22</v>
      </c>
      <c r="E19" s="1" t="s">
        <v>22</v>
      </c>
      <c r="F19" s="1" t="s">
        <v>22</v>
      </c>
      <c r="G19" s="1" t="s">
        <v>23</v>
      </c>
      <c r="H19" s="1" t="s">
        <v>74</v>
      </c>
      <c r="I19" s="1" t="s">
        <v>75</v>
      </c>
      <c r="J19" s="1" t="s">
        <v>26</v>
      </c>
    </row>
    <row r="20" spans="1:10" x14ac:dyDescent="0.25">
      <c r="A20" s="1" t="s">
        <v>76</v>
      </c>
      <c r="B20" s="1" t="s">
        <v>21</v>
      </c>
      <c r="C20" s="1" t="s">
        <v>21</v>
      </c>
      <c r="D20" s="1" t="s">
        <v>22</v>
      </c>
      <c r="E20" s="1" t="s">
        <v>22</v>
      </c>
      <c r="F20" s="1" t="s">
        <v>22</v>
      </c>
      <c r="G20" s="1" t="s">
        <v>23</v>
      </c>
      <c r="H20" s="1" t="s">
        <v>77</v>
      </c>
      <c r="I20" s="1" t="s">
        <v>78</v>
      </c>
      <c r="J20" s="1" t="s">
        <v>26</v>
      </c>
    </row>
    <row r="21" spans="1:10" x14ac:dyDescent="0.25">
      <c r="A21" s="1" t="s">
        <v>79</v>
      </c>
      <c r="B21" s="1" t="s">
        <v>28</v>
      </c>
      <c r="C21" s="1" t="s">
        <v>28</v>
      </c>
      <c r="D21" s="1" t="s">
        <v>22</v>
      </c>
      <c r="E21" s="1" t="s">
        <v>22</v>
      </c>
      <c r="F21" s="1" t="s">
        <v>22</v>
      </c>
      <c r="G21" s="1" t="s">
        <v>23</v>
      </c>
      <c r="H21" s="1" t="s">
        <v>80</v>
      </c>
      <c r="I21" s="1" t="s">
        <v>81</v>
      </c>
      <c r="J21" s="1" t="s">
        <v>26</v>
      </c>
    </row>
    <row r="22" spans="1:10" x14ac:dyDescent="0.25">
      <c r="A22" s="1" t="s">
        <v>82</v>
      </c>
      <c r="B22" s="1" t="s">
        <v>28</v>
      </c>
      <c r="C22" s="1" t="s">
        <v>28</v>
      </c>
      <c r="D22" s="1" t="s">
        <v>22</v>
      </c>
      <c r="E22" s="1" t="s">
        <v>22</v>
      </c>
      <c r="F22" s="1" t="s">
        <v>22</v>
      </c>
      <c r="G22" s="1" t="s">
        <v>23</v>
      </c>
      <c r="H22" s="1" t="s">
        <v>83</v>
      </c>
      <c r="I22" s="1" t="s">
        <v>84</v>
      </c>
      <c r="J22" s="1" t="s">
        <v>26</v>
      </c>
    </row>
    <row r="23" spans="1:10" x14ac:dyDescent="0.25">
      <c r="A23" s="1" t="s">
        <v>85</v>
      </c>
      <c r="B23" s="1" t="s">
        <v>28</v>
      </c>
      <c r="C23" s="1" t="s">
        <v>28</v>
      </c>
      <c r="D23" s="1" t="s">
        <v>22</v>
      </c>
      <c r="E23" s="1" t="s">
        <v>22</v>
      </c>
      <c r="F23" s="1" t="s">
        <v>22</v>
      </c>
      <c r="G23" s="1" t="s">
        <v>23</v>
      </c>
      <c r="H23" s="1" t="s">
        <v>86</v>
      </c>
      <c r="I23" s="1" t="s">
        <v>87</v>
      </c>
      <c r="J23" s="1" t="s">
        <v>26</v>
      </c>
    </row>
    <row r="24" spans="1:10" x14ac:dyDescent="0.25">
      <c r="A24" s="1" t="s">
        <v>88</v>
      </c>
      <c r="B24" s="1" t="s">
        <v>28</v>
      </c>
      <c r="C24" s="1" t="s">
        <v>21</v>
      </c>
      <c r="D24" s="1" t="s">
        <v>22</v>
      </c>
      <c r="E24" s="1" t="s">
        <v>22</v>
      </c>
      <c r="F24" s="1" t="s">
        <v>22</v>
      </c>
      <c r="G24" s="1" t="s">
        <v>23</v>
      </c>
      <c r="H24" s="1" t="s">
        <v>89</v>
      </c>
      <c r="I24" s="1" t="s">
        <v>90</v>
      </c>
      <c r="J24" s="1" t="s">
        <v>26</v>
      </c>
    </row>
    <row r="25" spans="1:10" x14ac:dyDescent="0.25">
      <c r="A25" s="1" t="s">
        <v>91</v>
      </c>
      <c r="B25" s="1" t="s">
        <v>28</v>
      </c>
      <c r="C25" s="1" t="s">
        <v>28</v>
      </c>
      <c r="D25" s="1" t="s">
        <v>22</v>
      </c>
      <c r="E25" s="1" t="s">
        <v>22</v>
      </c>
      <c r="F25" s="1" t="s">
        <v>22</v>
      </c>
      <c r="G25" s="1" t="s">
        <v>23</v>
      </c>
      <c r="H25" s="1" t="s">
        <v>92</v>
      </c>
      <c r="I25" s="1" t="s">
        <v>93</v>
      </c>
      <c r="J25" s="1" t="s">
        <v>26</v>
      </c>
    </row>
    <row r="26" spans="1:10" x14ac:dyDescent="0.25">
      <c r="A26" s="1" t="s">
        <v>94</v>
      </c>
      <c r="B26" s="1" t="s">
        <v>28</v>
      </c>
      <c r="C26" s="1" t="s">
        <v>28</v>
      </c>
      <c r="D26" s="1" t="s">
        <v>22</v>
      </c>
      <c r="E26" s="1" t="s">
        <v>22</v>
      </c>
      <c r="F26" s="1" t="s">
        <v>22</v>
      </c>
      <c r="G26" s="1" t="s">
        <v>23</v>
      </c>
      <c r="H26" s="1" t="s">
        <v>95</v>
      </c>
      <c r="I26" s="1" t="s">
        <v>96</v>
      </c>
      <c r="J26" s="1" t="s">
        <v>26</v>
      </c>
    </row>
    <row r="27" spans="1:10" x14ac:dyDescent="0.25">
      <c r="A27" s="1" t="s">
        <v>97</v>
      </c>
      <c r="B27" s="1" t="s">
        <v>28</v>
      </c>
      <c r="C27" s="1" t="s">
        <v>28</v>
      </c>
      <c r="D27" s="1" t="s">
        <v>22</v>
      </c>
      <c r="E27" s="1" t="s">
        <v>22</v>
      </c>
      <c r="F27" s="1" t="s">
        <v>22</v>
      </c>
      <c r="G27" s="1" t="s">
        <v>23</v>
      </c>
      <c r="H27" s="1" t="s">
        <v>98</v>
      </c>
      <c r="I27" s="1" t="s">
        <v>99</v>
      </c>
      <c r="J27" s="1" t="s">
        <v>26</v>
      </c>
    </row>
    <row r="28" spans="1:10" x14ac:dyDescent="0.25">
      <c r="A28" s="1" t="s">
        <v>100</v>
      </c>
      <c r="B28" s="1" t="s">
        <v>28</v>
      </c>
      <c r="C28" s="1" t="s">
        <v>28</v>
      </c>
      <c r="D28" s="1" t="s">
        <v>22</v>
      </c>
      <c r="E28" s="1" t="s">
        <v>22</v>
      </c>
      <c r="F28" s="1" t="s">
        <v>22</v>
      </c>
      <c r="G28" s="1" t="s">
        <v>23</v>
      </c>
      <c r="H28" s="1" t="s">
        <v>101</v>
      </c>
      <c r="I28" s="1" t="s">
        <v>102</v>
      </c>
      <c r="J28" s="1" t="s">
        <v>26</v>
      </c>
    </row>
    <row r="29" spans="1:10" x14ac:dyDescent="0.25">
      <c r="A29" s="1" t="s">
        <v>103</v>
      </c>
      <c r="B29" s="1" t="s">
        <v>28</v>
      </c>
      <c r="C29" s="1" t="s">
        <v>28</v>
      </c>
      <c r="D29" s="1" t="s">
        <v>22</v>
      </c>
      <c r="E29" s="1" t="s">
        <v>22</v>
      </c>
      <c r="F29" s="1" t="s">
        <v>22</v>
      </c>
      <c r="G29" s="1" t="s">
        <v>23</v>
      </c>
      <c r="H29" s="1" t="s">
        <v>104</v>
      </c>
      <c r="I29" s="1" t="s">
        <v>105</v>
      </c>
      <c r="J29" s="1" t="s">
        <v>26</v>
      </c>
    </row>
    <row r="30" spans="1:10" x14ac:dyDescent="0.25">
      <c r="A30" s="1" t="s">
        <v>106</v>
      </c>
      <c r="B30" s="1" t="s">
        <v>28</v>
      </c>
      <c r="C30" s="1" t="s">
        <v>28</v>
      </c>
      <c r="D30" s="1" t="s">
        <v>22</v>
      </c>
      <c r="E30" s="1" t="s">
        <v>22</v>
      </c>
      <c r="F30" s="1" t="s">
        <v>22</v>
      </c>
      <c r="G30" s="1" t="s">
        <v>23</v>
      </c>
      <c r="H30" s="1" t="s">
        <v>107</v>
      </c>
      <c r="I30" s="1" t="s">
        <v>108</v>
      </c>
      <c r="J30" s="1" t="s">
        <v>26</v>
      </c>
    </row>
    <row r="31" spans="1:10" x14ac:dyDescent="0.25">
      <c r="A31" s="1" t="s">
        <v>109</v>
      </c>
      <c r="B31" s="1" t="s">
        <v>28</v>
      </c>
      <c r="C31" s="1" t="s">
        <v>28</v>
      </c>
      <c r="D31" s="1" t="s">
        <v>22</v>
      </c>
      <c r="E31" s="1" t="s">
        <v>22</v>
      </c>
      <c r="F31" s="1" t="s">
        <v>22</v>
      </c>
      <c r="G31" s="1" t="s">
        <v>23</v>
      </c>
      <c r="H31" s="1" t="s">
        <v>110</v>
      </c>
      <c r="I31" s="1" t="s">
        <v>111</v>
      </c>
      <c r="J31" s="1" t="s">
        <v>26</v>
      </c>
    </row>
    <row r="32" spans="1:10" x14ac:dyDescent="0.25">
      <c r="A32" s="1" t="s">
        <v>112</v>
      </c>
      <c r="B32" s="1" t="s">
        <v>28</v>
      </c>
      <c r="C32" s="1" t="s">
        <v>28</v>
      </c>
      <c r="D32" s="1" t="s">
        <v>22</v>
      </c>
      <c r="E32" s="1" t="s">
        <v>22</v>
      </c>
      <c r="F32" s="1" t="s">
        <v>22</v>
      </c>
      <c r="G32" s="1" t="s">
        <v>23</v>
      </c>
      <c r="H32" s="1" t="s">
        <v>113</v>
      </c>
      <c r="I32" s="1" t="s">
        <v>114</v>
      </c>
      <c r="J32" s="1" t="s">
        <v>26</v>
      </c>
    </row>
    <row r="33" spans="1:10" x14ac:dyDescent="0.25">
      <c r="A33" s="1" t="s">
        <v>115</v>
      </c>
      <c r="B33" s="1" t="s">
        <v>28</v>
      </c>
      <c r="C33" s="1" t="s">
        <v>28</v>
      </c>
      <c r="D33" s="1" t="s">
        <v>22</v>
      </c>
      <c r="E33" s="1" t="s">
        <v>22</v>
      </c>
      <c r="F33" s="1" t="s">
        <v>22</v>
      </c>
      <c r="G33" s="1" t="s">
        <v>23</v>
      </c>
      <c r="H33" s="1" t="s">
        <v>116</v>
      </c>
      <c r="I33" s="1" t="s">
        <v>117</v>
      </c>
      <c r="J33" s="1" t="s">
        <v>26</v>
      </c>
    </row>
    <row r="34" spans="1:10" x14ac:dyDescent="0.25">
      <c r="A34" s="1" t="s">
        <v>118</v>
      </c>
      <c r="B34" s="1" t="s">
        <v>28</v>
      </c>
      <c r="C34" s="1" t="s">
        <v>28</v>
      </c>
      <c r="D34" s="1" t="s">
        <v>22</v>
      </c>
      <c r="E34" s="1" t="s">
        <v>22</v>
      </c>
      <c r="F34" s="1" t="s">
        <v>22</v>
      </c>
      <c r="G34" s="1" t="s">
        <v>23</v>
      </c>
      <c r="H34" s="1" t="s">
        <v>119</v>
      </c>
      <c r="I34" s="1" t="s">
        <v>120</v>
      </c>
      <c r="J34" s="1" t="s">
        <v>26</v>
      </c>
    </row>
    <row r="35" spans="1:10" x14ac:dyDescent="0.25">
      <c r="A35" s="1" t="s">
        <v>121</v>
      </c>
      <c r="B35" s="1" t="s">
        <v>28</v>
      </c>
      <c r="C35" s="1" t="s">
        <v>28</v>
      </c>
      <c r="D35" s="1" t="s">
        <v>22</v>
      </c>
      <c r="E35" s="1" t="s">
        <v>22</v>
      </c>
      <c r="F35" s="1" t="s">
        <v>22</v>
      </c>
      <c r="G35" s="1" t="s">
        <v>23</v>
      </c>
      <c r="H35" s="1" t="s">
        <v>122</v>
      </c>
      <c r="I35" s="1" t="s">
        <v>123</v>
      </c>
      <c r="J35" s="1" t="s">
        <v>26</v>
      </c>
    </row>
    <row r="36" spans="1:10" x14ac:dyDescent="0.25">
      <c r="A36" s="1" t="s">
        <v>124</v>
      </c>
      <c r="B36" s="1" t="s">
        <v>28</v>
      </c>
      <c r="C36" s="1" t="s">
        <v>21</v>
      </c>
      <c r="D36" s="1" t="s">
        <v>22</v>
      </c>
      <c r="E36" s="1" t="s">
        <v>22</v>
      </c>
      <c r="F36" s="1" t="s">
        <v>22</v>
      </c>
      <c r="G36" s="1" t="s">
        <v>23</v>
      </c>
      <c r="H36" s="1" t="s">
        <v>125</v>
      </c>
      <c r="I36" s="1" t="s">
        <v>126</v>
      </c>
      <c r="J36" s="1" t="s">
        <v>26</v>
      </c>
    </row>
    <row r="37" spans="1:10" x14ac:dyDescent="0.25">
      <c r="A37" s="1" t="s">
        <v>127</v>
      </c>
      <c r="B37" s="1" t="s">
        <v>28</v>
      </c>
      <c r="C37" s="1" t="s">
        <v>28</v>
      </c>
      <c r="D37" s="1" t="s">
        <v>22</v>
      </c>
      <c r="E37" s="1" t="s">
        <v>22</v>
      </c>
      <c r="F37" s="1" t="s">
        <v>22</v>
      </c>
      <c r="G37" s="1" t="s">
        <v>23</v>
      </c>
      <c r="H37" s="1" t="s">
        <v>128</v>
      </c>
      <c r="I37" s="1" t="s">
        <v>129</v>
      </c>
      <c r="J37" s="1" t="s">
        <v>26</v>
      </c>
    </row>
    <row r="38" spans="1:10" x14ac:dyDescent="0.25">
      <c r="A38" s="1" t="s">
        <v>130</v>
      </c>
      <c r="B38" s="1" t="s">
        <v>28</v>
      </c>
      <c r="C38" s="1" t="s">
        <v>28</v>
      </c>
      <c r="D38" s="1" t="s">
        <v>22</v>
      </c>
      <c r="E38" s="1" t="s">
        <v>22</v>
      </c>
      <c r="F38" s="1" t="s">
        <v>22</v>
      </c>
      <c r="G38" s="1" t="s">
        <v>23</v>
      </c>
      <c r="H38" s="1" t="s">
        <v>131</v>
      </c>
      <c r="I38" s="1" t="s">
        <v>132</v>
      </c>
      <c r="J38" s="1" t="s">
        <v>26</v>
      </c>
    </row>
    <row r="39" spans="1:10" x14ac:dyDescent="0.25">
      <c r="A39" s="1" t="s">
        <v>133</v>
      </c>
      <c r="B39" s="1" t="s">
        <v>28</v>
      </c>
      <c r="C39" s="1" t="s">
        <v>21</v>
      </c>
      <c r="D39" s="1" t="s">
        <v>22</v>
      </c>
      <c r="E39" s="1" t="s">
        <v>22</v>
      </c>
      <c r="F39" s="1" t="s">
        <v>22</v>
      </c>
      <c r="G39" s="1" t="s">
        <v>23</v>
      </c>
      <c r="H39" s="1" t="s">
        <v>134</v>
      </c>
      <c r="I39" s="1" t="s">
        <v>135</v>
      </c>
      <c r="J39" s="1" t="s">
        <v>26</v>
      </c>
    </row>
    <row r="40" spans="1:10" x14ac:dyDescent="0.25">
      <c r="A40" s="1" t="s">
        <v>136</v>
      </c>
      <c r="B40" s="1" t="s">
        <v>28</v>
      </c>
      <c r="C40" s="1" t="s">
        <v>28</v>
      </c>
      <c r="D40" s="1" t="s">
        <v>22</v>
      </c>
      <c r="E40" s="1" t="s">
        <v>22</v>
      </c>
      <c r="F40" s="1" t="s">
        <v>22</v>
      </c>
      <c r="G40" s="1" t="s">
        <v>23</v>
      </c>
      <c r="H40" s="1" t="s">
        <v>137</v>
      </c>
      <c r="I40" s="1" t="s">
        <v>138</v>
      </c>
      <c r="J40" s="1" t="s">
        <v>26</v>
      </c>
    </row>
    <row r="41" spans="1:10" x14ac:dyDescent="0.25">
      <c r="A41" s="1" t="s">
        <v>139</v>
      </c>
      <c r="B41" s="1" t="s">
        <v>28</v>
      </c>
      <c r="C41" s="1" t="s">
        <v>28</v>
      </c>
      <c r="D41" s="1" t="s">
        <v>22</v>
      </c>
      <c r="E41" s="1" t="s">
        <v>22</v>
      </c>
      <c r="F41" s="1" t="s">
        <v>22</v>
      </c>
      <c r="G41" s="1" t="s">
        <v>23</v>
      </c>
      <c r="H41" s="1" t="s">
        <v>140</v>
      </c>
      <c r="I41" s="1" t="s">
        <v>141</v>
      </c>
      <c r="J41" s="1" t="s">
        <v>26</v>
      </c>
    </row>
    <row r="42" spans="1:10" x14ac:dyDescent="0.25">
      <c r="A42" s="1" t="s">
        <v>142</v>
      </c>
      <c r="B42" s="1" t="s">
        <v>28</v>
      </c>
      <c r="C42" s="1" t="s">
        <v>28</v>
      </c>
      <c r="D42" s="1" t="s">
        <v>22</v>
      </c>
      <c r="E42" s="1" t="s">
        <v>22</v>
      </c>
      <c r="F42" s="1" t="s">
        <v>22</v>
      </c>
      <c r="G42" s="1" t="s">
        <v>23</v>
      </c>
      <c r="H42" s="1" t="s">
        <v>143</v>
      </c>
      <c r="I42" s="1" t="s">
        <v>144</v>
      </c>
      <c r="J42" s="1" t="s">
        <v>26</v>
      </c>
    </row>
    <row r="43" spans="1:10" x14ac:dyDescent="0.25">
      <c r="A43" s="1" t="s">
        <v>145</v>
      </c>
      <c r="B43" s="1" t="s">
        <v>28</v>
      </c>
      <c r="C43" s="1" t="s">
        <v>28</v>
      </c>
      <c r="D43" s="1" t="s">
        <v>22</v>
      </c>
      <c r="E43" s="1" t="s">
        <v>22</v>
      </c>
      <c r="F43" s="1" t="s">
        <v>22</v>
      </c>
      <c r="G43" s="1" t="s">
        <v>23</v>
      </c>
      <c r="H43" s="1" t="s">
        <v>146</v>
      </c>
      <c r="I43" s="1" t="s">
        <v>147</v>
      </c>
      <c r="J43" s="1" t="s">
        <v>26</v>
      </c>
    </row>
    <row r="44" spans="1:10" x14ac:dyDescent="0.25">
      <c r="A44" s="1" t="s">
        <v>148</v>
      </c>
      <c r="B44" s="1" t="s">
        <v>28</v>
      </c>
      <c r="C44" s="1" t="s">
        <v>28</v>
      </c>
      <c r="D44" s="1" t="s">
        <v>22</v>
      </c>
      <c r="E44" s="1" t="s">
        <v>22</v>
      </c>
      <c r="F44" s="1" t="s">
        <v>22</v>
      </c>
      <c r="G44" s="1" t="s">
        <v>23</v>
      </c>
      <c r="H44" s="1" t="s">
        <v>149</v>
      </c>
      <c r="I44" s="1" t="s">
        <v>150</v>
      </c>
      <c r="J44" s="1" t="s">
        <v>26</v>
      </c>
    </row>
    <row r="45" spans="1:10" x14ac:dyDescent="0.25">
      <c r="A45" s="1" t="s">
        <v>151</v>
      </c>
      <c r="B45" s="1" t="s">
        <v>28</v>
      </c>
      <c r="C45" s="1" t="s">
        <v>28</v>
      </c>
      <c r="D45" s="1" t="s">
        <v>22</v>
      </c>
      <c r="E45" s="1" t="s">
        <v>22</v>
      </c>
      <c r="F45" s="1" t="s">
        <v>22</v>
      </c>
      <c r="G45" s="1" t="s">
        <v>23</v>
      </c>
      <c r="H45" s="1" t="s">
        <v>152</v>
      </c>
      <c r="I45" s="1" t="s">
        <v>153</v>
      </c>
      <c r="J45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6"/>
  <sheetViews>
    <sheetView tabSelected="1" workbookViewId="0">
      <selection activeCell="E7" sqref="E7"/>
    </sheetView>
  </sheetViews>
  <sheetFormatPr defaultRowHeight="15" x14ac:dyDescent="0.25"/>
  <cols>
    <col min="3" max="3" width="16.140625" customWidth="1"/>
    <col min="5" max="5" width="17" customWidth="1"/>
    <col min="6" max="6" width="9.140625" customWidth="1"/>
  </cols>
  <sheetData>
    <row r="1" spans="2:15" x14ac:dyDescent="0.25">
      <c r="C1" s="3" t="s">
        <v>468</v>
      </c>
      <c r="D1" s="3"/>
      <c r="E1" s="3" t="s">
        <v>13</v>
      </c>
      <c r="F1" s="3"/>
      <c r="G1" s="3" t="s">
        <v>469</v>
      </c>
      <c r="H1" s="3"/>
      <c r="I1" s="3" t="s">
        <v>471</v>
      </c>
      <c r="J1" s="3"/>
      <c r="K1" s="3" t="s">
        <v>470</v>
      </c>
      <c r="L1" s="3"/>
    </row>
    <row r="2" spans="2:15" x14ac:dyDescent="0.25">
      <c r="B2" s="2"/>
      <c r="C2" s="2" t="s">
        <v>21</v>
      </c>
      <c r="D2" s="2" t="s">
        <v>28</v>
      </c>
      <c r="E2" s="2" t="s">
        <v>21</v>
      </c>
      <c r="F2" s="2" t="s">
        <v>28</v>
      </c>
      <c r="G2" s="2" t="s">
        <v>21</v>
      </c>
      <c r="H2" s="2" t="s">
        <v>28</v>
      </c>
      <c r="I2" s="2" t="s">
        <v>21</v>
      </c>
      <c r="J2" s="2" t="s">
        <v>28</v>
      </c>
      <c r="K2" s="2" t="s">
        <v>21</v>
      </c>
      <c r="L2" s="2" t="s">
        <v>28</v>
      </c>
      <c r="N2" t="s">
        <v>21</v>
      </c>
      <c r="O2" t="s">
        <v>28</v>
      </c>
    </row>
    <row r="3" spans="2:15" x14ac:dyDescent="0.25">
      <c r="B3" s="2" t="s">
        <v>465</v>
      </c>
      <c r="C3">
        <v>14</v>
      </c>
      <c r="D3">
        <v>21</v>
      </c>
      <c r="E3">
        <v>17</v>
      </c>
      <c r="F3">
        <v>23</v>
      </c>
      <c r="G3">
        <v>16</v>
      </c>
      <c r="H3">
        <v>23</v>
      </c>
      <c r="I3">
        <v>15</v>
      </c>
      <c r="J3">
        <v>21</v>
      </c>
      <c r="K3">
        <v>16</v>
      </c>
      <c r="L3">
        <v>22</v>
      </c>
      <c r="M3" t="s">
        <v>465</v>
      </c>
      <c r="N3">
        <v>15</v>
      </c>
      <c r="O3">
        <v>23</v>
      </c>
    </row>
    <row r="4" spans="2:15" x14ac:dyDescent="0.25">
      <c r="B4" s="2" t="s">
        <v>466</v>
      </c>
      <c r="C4">
        <v>18</v>
      </c>
      <c r="D4">
        <v>25</v>
      </c>
      <c r="E4">
        <v>18</v>
      </c>
      <c r="F4">
        <v>25</v>
      </c>
      <c r="G4">
        <v>18</v>
      </c>
      <c r="H4">
        <v>25</v>
      </c>
      <c r="I4">
        <v>18</v>
      </c>
      <c r="J4">
        <v>25</v>
      </c>
      <c r="K4">
        <v>18</v>
      </c>
      <c r="L4">
        <v>25</v>
      </c>
      <c r="M4" t="s">
        <v>466</v>
      </c>
      <c r="N4">
        <v>18</v>
      </c>
      <c r="O4">
        <v>25</v>
      </c>
    </row>
    <row r="5" spans="2:15" x14ac:dyDescent="0.25">
      <c r="B5" s="2" t="s">
        <v>467</v>
      </c>
      <c r="C5">
        <v>0.77777777777777779</v>
      </c>
      <c r="D5">
        <v>0.84</v>
      </c>
      <c r="E5">
        <v>0.94444444444444442</v>
      </c>
      <c r="F5">
        <v>0.92</v>
      </c>
      <c r="G5">
        <v>0.88888888888888884</v>
      </c>
      <c r="H5">
        <v>0.92</v>
      </c>
      <c r="I5">
        <v>0.83333333333333337</v>
      </c>
      <c r="J5">
        <v>0.84</v>
      </c>
      <c r="K5">
        <v>0.88888888888888884</v>
      </c>
      <c r="L5">
        <v>0.88</v>
      </c>
      <c r="M5" t="s">
        <v>467</v>
      </c>
      <c r="N5">
        <v>0.83333333333333337</v>
      </c>
      <c r="O5">
        <v>0.92</v>
      </c>
    </row>
    <row r="10" spans="2:15" x14ac:dyDescent="0.25">
      <c r="C10" t="s">
        <v>472</v>
      </c>
      <c r="D10" t="s">
        <v>473</v>
      </c>
      <c r="E10" t="s">
        <v>474</v>
      </c>
    </row>
    <row r="11" spans="2:15" x14ac:dyDescent="0.25">
      <c r="C11" t="s">
        <v>475</v>
      </c>
      <c r="D11">
        <v>0.77777777777777779</v>
      </c>
      <c r="E11">
        <v>0.84</v>
      </c>
    </row>
    <row r="12" spans="2:15" x14ac:dyDescent="0.25">
      <c r="C12" t="s">
        <v>13</v>
      </c>
      <c r="D12">
        <v>0.94444444444444442</v>
      </c>
      <c r="E12">
        <v>0.92</v>
      </c>
    </row>
    <row r="13" spans="2:15" x14ac:dyDescent="0.25">
      <c r="C13" t="s">
        <v>476</v>
      </c>
      <c r="D13">
        <v>0.88888888888888884</v>
      </c>
      <c r="E13">
        <v>0.92</v>
      </c>
    </row>
    <row r="14" spans="2:15" x14ac:dyDescent="0.25">
      <c r="C14" t="s">
        <v>477</v>
      </c>
      <c r="D14">
        <v>0.83333333333333337</v>
      </c>
      <c r="E14">
        <v>0.84</v>
      </c>
    </row>
    <row r="15" spans="2:15" x14ac:dyDescent="0.25">
      <c r="C15" t="s">
        <v>547</v>
      </c>
      <c r="D15">
        <v>0.83333333333333337</v>
      </c>
      <c r="E15">
        <v>0.92</v>
      </c>
    </row>
    <row r="16" spans="2:15" x14ac:dyDescent="0.25">
      <c r="C16" t="s">
        <v>478</v>
      </c>
      <c r="D16">
        <v>0.88888888888888884</v>
      </c>
      <c r="E16">
        <v>0.88</v>
      </c>
    </row>
  </sheetData>
  <mergeCells count="5">
    <mergeCell ref="C1:D1"/>
    <mergeCell ref="E1:F1"/>
    <mergeCell ref="G1:H1"/>
    <mergeCell ref="K1:L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6E1B-902F-4AF0-AF90-88632473614F}">
  <dimension ref="A1:O44"/>
  <sheetViews>
    <sheetView workbookViewId="0">
      <selection activeCell="O2" sqref="O2"/>
    </sheetView>
  </sheetViews>
  <sheetFormatPr defaultRowHeight="15" x14ac:dyDescent="0.25"/>
  <cols>
    <col min="15" max="15" width="8.28515625" customWidth="1"/>
  </cols>
  <sheetData>
    <row r="1" spans="1:1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M1" s="2"/>
      <c r="N1" s="2" t="s">
        <v>21</v>
      </c>
      <c r="O1" s="2" t="s">
        <v>28</v>
      </c>
    </row>
    <row r="2" spans="1:15" x14ac:dyDescent="0.25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479</v>
      </c>
      <c r="I2" t="s">
        <v>480</v>
      </c>
      <c r="J2" t="s">
        <v>26</v>
      </c>
      <c r="M2" s="2" t="s">
        <v>465</v>
      </c>
      <c r="N2">
        <f>COUNTIFS(B:B, "CLOSED", C:C, "CLOSED")</f>
        <v>15</v>
      </c>
      <c r="O2">
        <f>COUNTIFS(B:B, "OPEN", C:C, "OPEN")</f>
        <v>23</v>
      </c>
    </row>
    <row r="3" spans="1:15" x14ac:dyDescent="0.25">
      <c r="A3" t="s">
        <v>27</v>
      </c>
      <c r="B3" t="s">
        <v>21</v>
      </c>
      <c r="C3" t="s">
        <v>28</v>
      </c>
      <c r="D3" t="s">
        <v>22</v>
      </c>
      <c r="E3" t="s">
        <v>23</v>
      </c>
      <c r="F3" t="s">
        <v>22</v>
      </c>
      <c r="G3" t="s">
        <v>23</v>
      </c>
      <c r="H3" t="s">
        <v>481</v>
      </c>
      <c r="I3" t="s">
        <v>291</v>
      </c>
      <c r="J3" t="s">
        <v>26</v>
      </c>
      <c r="M3" s="2" t="s">
        <v>466</v>
      </c>
      <c r="N3">
        <f>COUNTIFS(B:B, "CLOSED")</f>
        <v>18</v>
      </c>
      <c r="O3">
        <f>COUNTIFS(B:B, "OPEN")</f>
        <v>25</v>
      </c>
    </row>
    <row r="4" spans="1:15" x14ac:dyDescent="0.25">
      <c r="A4" t="s">
        <v>31</v>
      </c>
      <c r="B4" t="s">
        <v>21</v>
      </c>
      <c r="C4" t="s">
        <v>21</v>
      </c>
      <c r="D4" t="s">
        <v>22</v>
      </c>
      <c r="E4" t="s">
        <v>23</v>
      </c>
      <c r="F4" t="s">
        <v>22</v>
      </c>
      <c r="G4" t="s">
        <v>23</v>
      </c>
      <c r="H4" t="s">
        <v>482</v>
      </c>
      <c r="I4" t="s">
        <v>483</v>
      </c>
      <c r="J4" t="s">
        <v>26</v>
      </c>
      <c r="M4" s="2" t="s">
        <v>467</v>
      </c>
      <c r="N4">
        <f>N2/N3</f>
        <v>0.83333333333333337</v>
      </c>
      <c r="O4">
        <f>O2/O3</f>
        <v>0.92</v>
      </c>
    </row>
    <row r="5" spans="1:15" x14ac:dyDescent="0.25">
      <c r="A5" t="s">
        <v>34</v>
      </c>
      <c r="B5" t="s">
        <v>21</v>
      </c>
      <c r="C5" t="s">
        <v>28</v>
      </c>
      <c r="D5" t="s">
        <v>22</v>
      </c>
      <c r="E5" t="s">
        <v>23</v>
      </c>
      <c r="F5" t="s">
        <v>22</v>
      </c>
      <c r="G5" t="s">
        <v>23</v>
      </c>
      <c r="H5" t="s">
        <v>484</v>
      </c>
      <c r="I5" t="s">
        <v>485</v>
      </c>
      <c r="J5" t="s">
        <v>26</v>
      </c>
    </row>
    <row r="6" spans="1:15" x14ac:dyDescent="0.25">
      <c r="A6" t="s">
        <v>37</v>
      </c>
      <c r="B6" t="s">
        <v>21</v>
      </c>
      <c r="C6" t="s">
        <v>21</v>
      </c>
      <c r="D6" t="s">
        <v>22</v>
      </c>
      <c r="E6" t="s">
        <v>23</v>
      </c>
      <c r="F6" t="s">
        <v>22</v>
      </c>
      <c r="G6" t="s">
        <v>23</v>
      </c>
      <c r="H6" t="s">
        <v>486</v>
      </c>
      <c r="I6" t="s">
        <v>487</v>
      </c>
      <c r="J6" t="s">
        <v>26</v>
      </c>
    </row>
    <row r="7" spans="1:15" x14ac:dyDescent="0.25">
      <c r="A7" t="s">
        <v>40</v>
      </c>
      <c r="B7" t="s">
        <v>21</v>
      </c>
      <c r="C7" t="s">
        <v>21</v>
      </c>
      <c r="D7" t="s">
        <v>22</v>
      </c>
      <c r="E7" t="s">
        <v>23</v>
      </c>
      <c r="F7" t="s">
        <v>22</v>
      </c>
      <c r="G7" t="s">
        <v>23</v>
      </c>
      <c r="H7" t="s">
        <v>399</v>
      </c>
      <c r="I7" t="s">
        <v>380</v>
      </c>
      <c r="J7" t="s">
        <v>26</v>
      </c>
    </row>
    <row r="8" spans="1:15" x14ac:dyDescent="0.25">
      <c r="A8" t="s">
        <v>43</v>
      </c>
      <c r="B8" t="s">
        <v>21</v>
      </c>
      <c r="C8" t="s">
        <v>21</v>
      </c>
      <c r="D8" t="s">
        <v>22</v>
      </c>
      <c r="E8" t="s">
        <v>23</v>
      </c>
      <c r="F8" t="s">
        <v>22</v>
      </c>
      <c r="G8" t="s">
        <v>23</v>
      </c>
      <c r="H8" t="s">
        <v>488</v>
      </c>
      <c r="I8" t="s">
        <v>489</v>
      </c>
      <c r="J8" t="s">
        <v>26</v>
      </c>
    </row>
    <row r="9" spans="1:15" x14ac:dyDescent="0.25">
      <c r="A9" t="s">
        <v>46</v>
      </c>
      <c r="B9" t="s">
        <v>21</v>
      </c>
      <c r="C9" t="s">
        <v>21</v>
      </c>
      <c r="D9" t="s">
        <v>22</v>
      </c>
      <c r="E9" t="s">
        <v>23</v>
      </c>
      <c r="F9" t="s">
        <v>22</v>
      </c>
      <c r="G9" t="s">
        <v>23</v>
      </c>
      <c r="H9" t="s">
        <v>490</v>
      </c>
      <c r="I9" t="s">
        <v>373</v>
      </c>
      <c r="J9" t="s">
        <v>26</v>
      </c>
    </row>
    <row r="10" spans="1:15" x14ac:dyDescent="0.25">
      <c r="A10" t="s">
        <v>49</v>
      </c>
      <c r="B10" t="s">
        <v>21</v>
      </c>
      <c r="C10" t="s">
        <v>21</v>
      </c>
      <c r="D10" t="s">
        <v>22</v>
      </c>
      <c r="E10" t="s">
        <v>23</v>
      </c>
      <c r="F10" t="s">
        <v>22</v>
      </c>
      <c r="G10" t="s">
        <v>23</v>
      </c>
      <c r="H10" t="s">
        <v>491</v>
      </c>
      <c r="I10" t="s">
        <v>492</v>
      </c>
      <c r="J10" t="s">
        <v>26</v>
      </c>
    </row>
    <row r="11" spans="1:15" x14ac:dyDescent="0.25">
      <c r="A11" t="s">
        <v>52</v>
      </c>
      <c r="B11" t="s">
        <v>21</v>
      </c>
      <c r="C11" t="s">
        <v>21</v>
      </c>
      <c r="D11" t="s">
        <v>22</v>
      </c>
      <c r="E11" t="s">
        <v>23</v>
      </c>
      <c r="F11" t="s">
        <v>22</v>
      </c>
      <c r="G11" t="s">
        <v>23</v>
      </c>
      <c r="H11" t="s">
        <v>493</v>
      </c>
      <c r="I11" t="s">
        <v>494</v>
      </c>
      <c r="J11" t="s">
        <v>26</v>
      </c>
    </row>
    <row r="12" spans="1:15" x14ac:dyDescent="0.25">
      <c r="A12" t="s">
        <v>55</v>
      </c>
      <c r="B12" t="s">
        <v>21</v>
      </c>
      <c r="C12" t="s">
        <v>21</v>
      </c>
      <c r="D12" t="s">
        <v>22</v>
      </c>
      <c r="E12" t="s">
        <v>23</v>
      </c>
      <c r="F12" t="s">
        <v>22</v>
      </c>
      <c r="G12" t="s">
        <v>23</v>
      </c>
      <c r="H12" t="s">
        <v>313</v>
      </c>
      <c r="I12" t="s">
        <v>495</v>
      </c>
      <c r="J12" t="s">
        <v>26</v>
      </c>
    </row>
    <row r="13" spans="1:15" x14ac:dyDescent="0.25">
      <c r="A13" t="s">
        <v>58</v>
      </c>
      <c r="B13" t="s">
        <v>21</v>
      </c>
      <c r="C13" t="s">
        <v>28</v>
      </c>
      <c r="D13" t="s">
        <v>22</v>
      </c>
      <c r="E13" t="s">
        <v>23</v>
      </c>
      <c r="F13" t="s">
        <v>22</v>
      </c>
      <c r="G13" t="s">
        <v>23</v>
      </c>
      <c r="H13" t="s">
        <v>496</v>
      </c>
      <c r="I13" t="s">
        <v>236</v>
      </c>
      <c r="J13" t="s">
        <v>26</v>
      </c>
    </row>
    <row r="14" spans="1:15" x14ac:dyDescent="0.25">
      <c r="A14" t="s">
        <v>61</v>
      </c>
      <c r="B14" t="s">
        <v>21</v>
      </c>
      <c r="C14" t="s">
        <v>21</v>
      </c>
      <c r="D14" t="s">
        <v>22</v>
      </c>
      <c r="E14" t="s">
        <v>23</v>
      </c>
      <c r="F14" t="s">
        <v>22</v>
      </c>
      <c r="G14" t="s">
        <v>23</v>
      </c>
      <c r="H14" t="s">
        <v>335</v>
      </c>
      <c r="I14" t="s">
        <v>497</v>
      </c>
      <c r="J14" t="s">
        <v>26</v>
      </c>
    </row>
    <row r="15" spans="1:15" x14ac:dyDescent="0.25">
      <c r="A15" t="s">
        <v>64</v>
      </c>
      <c r="B15" t="s">
        <v>21</v>
      </c>
      <c r="C15" t="s">
        <v>21</v>
      </c>
      <c r="D15" t="s">
        <v>22</v>
      </c>
      <c r="E15" t="s">
        <v>23</v>
      </c>
      <c r="F15" t="s">
        <v>22</v>
      </c>
      <c r="G15" t="s">
        <v>23</v>
      </c>
      <c r="H15" t="s">
        <v>498</v>
      </c>
      <c r="I15" t="s">
        <v>499</v>
      </c>
      <c r="J15" t="s">
        <v>26</v>
      </c>
    </row>
    <row r="16" spans="1:15" x14ac:dyDescent="0.25">
      <c r="A16" t="s">
        <v>67</v>
      </c>
      <c r="B16" t="s">
        <v>21</v>
      </c>
      <c r="C16" t="s">
        <v>21</v>
      </c>
      <c r="D16" t="s">
        <v>22</v>
      </c>
      <c r="E16" t="s">
        <v>23</v>
      </c>
      <c r="F16" t="s">
        <v>22</v>
      </c>
      <c r="G16" t="s">
        <v>23</v>
      </c>
      <c r="H16" t="s">
        <v>500</v>
      </c>
      <c r="I16" t="s">
        <v>501</v>
      </c>
      <c r="J16" t="s">
        <v>26</v>
      </c>
    </row>
    <row r="17" spans="1:10" x14ac:dyDescent="0.25">
      <c r="A17" t="s">
        <v>70</v>
      </c>
      <c r="B17" t="s">
        <v>21</v>
      </c>
      <c r="C17" t="s">
        <v>21</v>
      </c>
      <c r="D17" t="s">
        <v>22</v>
      </c>
      <c r="E17" t="s">
        <v>23</v>
      </c>
      <c r="F17" t="s">
        <v>22</v>
      </c>
      <c r="G17" t="s">
        <v>23</v>
      </c>
      <c r="H17" t="s">
        <v>494</v>
      </c>
      <c r="I17" t="s">
        <v>502</v>
      </c>
      <c r="J17" t="s">
        <v>26</v>
      </c>
    </row>
    <row r="18" spans="1:10" x14ac:dyDescent="0.25">
      <c r="A18" t="s">
        <v>73</v>
      </c>
      <c r="B18" t="s">
        <v>21</v>
      </c>
      <c r="C18" t="s">
        <v>21</v>
      </c>
      <c r="D18" t="s">
        <v>22</v>
      </c>
      <c r="E18" t="s">
        <v>23</v>
      </c>
      <c r="F18" t="s">
        <v>22</v>
      </c>
      <c r="G18" t="s">
        <v>23</v>
      </c>
      <c r="H18" t="s">
        <v>333</v>
      </c>
      <c r="I18" t="s">
        <v>503</v>
      </c>
      <c r="J18" t="s">
        <v>26</v>
      </c>
    </row>
    <row r="19" spans="1:10" x14ac:dyDescent="0.25">
      <c r="A19" t="s">
        <v>76</v>
      </c>
      <c r="B19" t="s">
        <v>21</v>
      </c>
      <c r="C19" t="s">
        <v>21</v>
      </c>
      <c r="D19" t="s">
        <v>22</v>
      </c>
      <c r="E19" t="s">
        <v>23</v>
      </c>
      <c r="F19" t="s">
        <v>22</v>
      </c>
      <c r="G19" t="s">
        <v>23</v>
      </c>
      <c r="H19" t="s">
        <v>504</v>
      </c>
      <c r="I19" t="s">
        <v>505</v>
      </c>
      <c r="J19" t="s">
        <v>26</v>
      </c>
    </row>
    <row r="20" spans="1:10" x14ac:dyDescent="0.25">
      <c r="A20" t="s">
        <v>79</v>
      </c>
      <c r="B20" t="s">
        <v>28</v>
      </c>
      <c r="C20" t="s">
        <v>28</v>
      </c>
      <c r="D20" t="s">
        <v>22</v>
      </c>
      <c r="E20" t="s">
        <v>23</v>
      </c>
      <c r="F20" t="s">
        <v>22</v>
      </c>
      <c r="G20" t="s">
        <v>23</v>
      </c>
      <c r="H20" t="s">
        <v>506</v>
      </c>
      <c r="I20" t="s">
        <v>507</v>
      </c>
      <c r="J20" t="s">
        <v>26</v>
      </c>
    </row>
    <row r="21" spans="1:10" x14ac:dyDescent="0.25">
      <c r="A21" t="s">
        <v>82</v>
      </c>
      <c r="B21" t="s">
        <v>28</v>
      </c>
      <c r="C21" t="s">
        <v>28</v>
      </c>
      <c r="D21" t="s">
        <v>22</v>
      </c>
      <c r="E21" t="s">
        <v>23</v>
      </c>
      <c r="F21" t="s">
        <v>22</v>
      </c>
      <c r="G21" t="s">
        <v>23</v>
      </c>
      <c r="H21" t="s">
        <v>508</v>
      </c>
      <c r="I21" t="s">
        <v>509</v>
      </c>
      <c r="J21" t="s">
        <v>26</v>
      </c>
    </row>
    <row r="22" spans="1:10" x14ac:dyDescent="0.25">
      <c r="A22" t="s">
        <v>85</v>
      </c>
      <c r="B22" t="s">
        <v>28</v>
      </c>
      <c r="C22" t="s">
        <v>28</v>
      </c>
      <c r="D22" t="s">
        <v>22</v>
      </c>
      <c r="E22" t="s">
        <v>23</v>
      </c>
      <c r="F22" t="s">
        <v>22</v>
      </c>
      <c r="G22" t="s">
        <v>23</v>
      </c>
      <c r="H22" t="s">
        <v>510</v>
      </c>
      <c r="I22" t="s">
        <v>511</v>
      </c>
      <c r="J22" t="s">
        <v>26</v>
      </c>
    </row>
    <row r="23" spans="1:10" x14ac:dyDescent="0.25">
      <c r="A23" t="s">
        <v>88</v>
      </c>
      <c r="B23" t="s">
        <v>28</v>
      </c>
      <c r="C23" t="s">
        <v>28</v>
      </c>
      <c r="D23" t="s">
        <v>22</v>
      </c>
      <c r="E23" t="s">
        <v>23</v>
      </c>
      <c r="F23" t="s">
        <v>22</v>
      </c>
      <c r="G23" t="s">
        <v>23</v>
      </c>
      <c r="H23" t="s">
        <v>268</v>
      </c>
      <c r="I23" t="s">
        <v>512</v>
      </c>
      <c r="J23" t="s">
        <v>26</v>
      </c>
    </row>
    <row r="24" spans="1:10" x14ac:dyDescent="0.25">
      <c r="A24" t="s">
        <v>91</v>
      </c>
      <c r="B24" t="s">
        <v>28</v>
      </c>
      <c r="C24" t="s">
        <v>28</v>
      </c>
      <c r="D24" t="s">
        <v>22</v>
      </c>
      <c r="E24" t="s">
        <v>23</v>
      </c>
      <c r="F24" t="s">
        <v>22</v>
      </c>
      <c r="G24" t="s">
        <v>23</v>
      </c>
      <c r="H24" t="s">
        <v>283</v>
      </c>
      <c r="I24" t="s">
        <v>513</v>
      </c>
      <c r="J24" t="s">
        <v>26</v>
      </c>
    </row>
    <row r="25" spans="1:10" x14ac:dyDescent="0.25">
      <c r="A25" t="s">
        <v>94</v>
      </c>
      <c r="B25" t="s">
        <v>28</v>
      </c>
      <c r="C25" t="s">
        <v>28</v>
      </c>
      <c r="D25" t="s">
        <v>22</v>
      </c>
      <c r="E25" t="s">
        <v>23</v>
      </c>
      <c r="F25" t="s">
        <v>22</v>
      </c>
      <c r="G25" t="s">
        <v>23</v>
      </c>
      <c r="H25" t="s">
        <v>514</v>
      </c>
      <c r="I25" t="s">
        <v>515</v>
      </c>
      <c r="J25" t="s">
        <v>26</v>
      </c>
    </row>
    <row r="26" spans="1:10" x14ac:dyDescent="0.25">
      <c r="A26" t="s">
        <v>97</v>
      </c>
      <c r="B26" t="s">
        <v>28</v>
      </c>
      <c r="C26" t="s">
        <v>28</v>
      </c>
      <c r="D26" t="s">
        <v>22</v>
      </c>
      <c r="E26" t="s">
        <v>23</v>
      </c>
      <c r="F26" t="s">
        <v>22</v>
      </c>
      <c r="G26" t="s">
        <v>23</v>
      </c>
      <c r="H26" t="s">
        <v>516</v>
      </c>
      <c r="I26" t="s">
        <v>517</v>
      </c>
      <c r="J26" t="s">
        <v>26</v>
      </c>
    </row>
    <row r="27" spans="1:10" x14ac:dyDescent="0.25">
      <c r="A27" t="s">
        <v>100</v>
      </c>
      <c r="B27" t="s">
        <v>28</v>
      </c>
      <c r="C27" t="s">
        <v>28</v>
      </c>
      <c r="D27" t="s">
        <v>22</v>
      </c>
      <c r="E27" t="s">
        <v>23</v>
      </c>
      <c r="F27" t="s">
        <v>22</v>
      </c>
      <c r="G27" t="s">
        <v>23</v>
      </c>
      <c r="H27" t="s">
        <v>518</v>
      </c>
      <c r="I27" t="s">
        <v>519</v>
      </c>
      <c r="J27" t="s">
        <v>26</v>
      </c>
    </row>
    <row r="28" spans="1:10" x14ac:dyDescent="0.25">
      <c r="A28" t="s">
        <v>103</v>
      </c>
      <c r="B28" t="s">
        <v>28</v>
      </c>
      <c r="C28" t="s">
        <v>28</v>
      </c>
      <c r="D28" t="s">
        <v>22</v>
      </c>
      <c r="E28" t="s">
        <v>23</v>
      </c>
      <c r="F28" t="s">
        <v>22</v>
      </c>
      <c r="G28" t="s">
        <v>23</v>
      </c>
      <c r="H28" t="s">
        <v>202</v>
      </c>
      <c r="I28" t="s">
        <v>520</v>
      </c>
      <c r="J28" t="s">
        <v>26</v>
      </c>
    </row>
    <row r="29" spans="1:10" x14ac:dyDescent="0.25">
      <c r="A29" t="s">
        <v>106</v>
      </c>
      <c r="B29" t="s">
        <v>28</v>
      </c>
      <c r="C29" t="s">
        <v>28</v>
      </c>
      <c r="D29" t="s">
        <v>22</v>
      </c>
      <c r="E29" t="s">
        <v>23</v>
      </c>
      <c r="F29" t="s">
        <v>22</v>
      </c>
      <c r="G29" t="s">
        <v>23</v>
      </c>
      <c r="H29" t="s">
        <v>521</v>
      </c>
      <c r="I29" t="s">
        <v>522</v>
      </c>
      <c r="J29" t="s">
        <v>26</v>
      </c>
    </row>
    <row r="30" spans="1:10" x14ac:dyDescent="0.25">
      <c r="A30" t="s">
        <v>109</v>
      </c>
      <c r="B30" t="s">
        <v>28</v>
      </c>
      <c r="C30" t="s">
        <v>28</v>
      </c>
      <c r="D30" t="s">
        <v>22</v>
      </c>
      <c r="E30" t="s">
        <v>23</v>
      </c>
      <c r="F30" t="s">
        <v>22</v>
      </c>
      <c r="G30" t="s">
        <v>23</v>
      </c>
      <c r="H30" t="s">
        <v>296</v>
      </c>
      <c r="I30" t="s">
        <v>235</v>
      </c>
      <c r="J30" t="s">
        <v>26</v>
      </c>
    </row>
    <row r="31" spans="1:10" x14ac:dyDescent="0.25">
      <c r="A31" t="s">
        <v>112</v>
      </c>
      <c r="B31" t="s">
        <v>28</v>
      </c>
      <c r="C31" t="s">
        <v>28</v>
      </c>
      <c r="D31" t="s">
        <v>22</v>
      </c>
      <c r="E31" t="s">
        <v>23</v>
      </c>
      <c r="F31" t="s">
        <v>22</v>
      </c>
      <c r="G31" t="s">
        <v>23</v>
      </c>
      <c r="H31" t="s">
        <v>523</v>
      </c>
      <c r="I31" t="s">
        <v>524</v>
      </c>
      <c r="J31" t="s">
        <v>26</v>
      </c>
    </row>
    <row r="32" spans="1:10" x14ac:dyDescent="0.25">
      <c r="A32" t="s">
        <v>115</v>
      </c>
      <c r="B32" t="s">
        <v>28</v>
      </c>
      <c r="C32" t="s">
        <v>28</v>
      </c>
      <c r="D32" t="s">
        <v>22</v>
      </c>
      <c r="E32" t="s">
        <v>23</v>
      </c>
      <c r="F32" t="s">
        <v>22</v>
      </c>
      <c r="G32" t="s">
        <v>23</v>
      </c>
      <c r="H32" t="s">
        <v>525</v>
      </c>
      <c r="I32" t="s">
        <v>526</v>
      </c>
      <c r="J32" t="s">
        <v>26</v>
      </c>
    </row>
    <row r="33" spans="1:10" x14ac:dyDescent="0.25">
      <c r="A33" t="s">
        <v>118</v>
      </c>
      <c r="B33" t="s">
        <v>28</v>
      </c>
      <c r="C33" t="s">
        <v>28</v>
      </c>
      <c r="D33" t="s">
        <v>22</v>
      </c>
      <c r="E33" t="s">
        <v>23</v>
      </c>
      <c r="F33" t="s">
        <v>22</v>
      </c>
      <c r="G33" t="s">
        <v>23</v>
      </c>
      <c r="H33" t="s">
        <v>527</v>
      </c>
      <c r="I33" t="s">
        <v>528</v>
      </c>
      <c r="J33" t="s">
        <v>26</v>
      </c>
    </row>
    <row r="34" spans="1:10" x14ac:dyDescent="0.25">
      <c r="A34" t="s">
        <v>121</v>
      </c>
      <c r="B34" t="s">
        <v>28</v>
      </c>
      <c r="C34" t="s">
        <v>28</v>
      </c>
      <c r="D34" t="s">
        <v>22</v>
      </c>
      <c r="E34" t="s">
        <v>23</v>
      </c>
      <c r="F34" t="s">
        <v>22</v>
      </c>
      <c r="G34" t="s">
        <v>23</v>
      </c>
      <c r="H34" t="s">
        <v>529</v>
      </c>
      <c r="I34" t="s">
        <v>530</v>
      </c>
      <c r="J34" t="s">
        <v>26</v>
      </c>
    </row>
    <row r="35" spans="1:10" x14ac:dyDescent="0.25">
      <c r="A35" t="s">
        <v>124</v>
      </c>
      <c r="B35" t="s">
        <v>28</v>
      </c>
      <c r="C35" t="s">
        <v>21</v>
      </c>
      <c r="D35" t="s">
        <v>22</v>
      </c>
      <c r="E35" t="s">
        <v>23</v>
      </c>
      <c r="F35" t="s">
        <v>22</v>
      </c>
      <c r="G35" t="s">
        <v>23</v>
      </c>
      <c r="H35" t="s">
        <v>531</v>
      </c>
      <c r="I35" t="s">
        <v>294</v>
      </c>
      <c r="J35" t="s">
        <v>26</v>
      </c>
    </row>
    <row r="36" spans="1:10" x14ac:dyDescent="0.25">
      <c r="A36" t="s">
        <v>127</v>
      </c>
      <c r="B36" t="s">
        <v>28</v>
      </c>
      <c r="C36" t="s">
        <v>28</v>
      </c>
      <c r="D36" t="s">
        <v>22</v>
      </c>
      <c r="E36" t="s">
        <v>23</v>
      </c>
      <c r="F36" t="s">
        <v>22</v>
      </c>
      <c r="G36" t="s">
        <v>23</v>
      </c>
      <c r="H36" t="s">
        <v>532</v>
      </c>
      <c r="I36" t="s">
        <v>462</v>
      </c>
      <c r="J36" t="s">
        <v>26</v>
      </c>
    </row>
    <row r="37" spans="1:10" x14ac:dyDescent="0.25">
      <c r="A37" t="s">
        <v>130</v>
      </c>
      <c r="B37" t="s">
        <v>28</v>
      </c>
      <c r="C37" t="s">
        <v>28</v>
      </c>
      <c r="D37" t="s">
        <v>22</v>
      </c>
      <c r="E37" t="s">
        <v>23</v>
      </c>
      <c r="F37" t="s">
        <v>22</v>
      </c>
      <c r="G37" t="s">
        <v>23</v>
      </c>
      <c r="H37" t="s">
        <v>533</v>
      </c>
      <c r="I37" t="s">
        <v>508</v>
      </c>
      <c r="J37" t="s">
        <v>26</v>
      </c>
    </row>
    <row r="38" spans="1:10" x14ac:dyDescent="0.25">
      <c r="A38" t="s">
        <v>133</v>
      </c>
      <c r="B38" t="s">
        <v>28</v>
      </c>
      <c r="C38" t="s">
        <v>28</v>
      </c>
      <c r="D38" t="s">
        <v>22</v>
      </c>
      <c r="E38" t="s">
        <v>23</v>
      </c>
      <c r="F38" t="s">
        <v>22</v>
      </c>
      <c r="G38" t="s">
        <v>23</v>
      </c>
      <c r="H38" t="s">
        <v>534</v>
      </c>
      <c r="I38" t="s">
        <v>535</v>
      </c>
      <c r="J38" t="s">
        <v>26</v>
      </c>
    </row>
    <row r="39" spans="1:10" x14ac:dyDescent="0.25">
      <c r="A39" t="s">
        <v>136</v>
      </c>
      <c r="B39" t="s">
        <v>28</v>
      </c>
      <c r="C39" t="s">
        <v>28</v>
      </c>
      <c r="D39" t="s">
        <v>22</v>
      </c>
      <c r="E39" t="s">
        <v>23</v>
      </c>
      <c r="F39" t="s">
        <v>22</v>
      </c>
      <c r="G39" t="s">
        <v>23</v>
      </c>
      <c r="H39" t="s">
        <v>536</v>
      </c>
      <c r="I39" t="s">
        <v>537</v>
      </c>
      <c r="J39" t="s">
        <v>26</v>
      </c>
    </row>
    <row r="40" spans="1:10" x14ac:dyDescent="0.25">
      <c r="A40" t="s">
        <v>139</v>
      </c>
      <c r="B40" t="s">
        <v>28</v>
      </c>
      <c r="C40" t="s">
        <v>28</v>
      </c>
      <c r="D40" t="s">
        <v>22</v>
      </c>
      <c r="E40" t="s">
        <v>23</v>
      </c>
      <c r="F40" t="s">
        <v>22</v>
      </c>
      <c r="G40" t="s">
        <v>23</v>
      </c>
      <c r="H40" t="s">
        <v>538</v>
      </c>
      <c r="I40" t="s">
        <v>539</v>
      </c>
      <c r="J40" t="s">
        <v>26</v>
      </c>
    </row>
    <row r="41" spans="1:10" x14ac:dyDescent="0.25">
      <c r="A41" t="s">
        <v>142</v>
      </c>
      <c r="B41" t="s">
        <v>28</v>
      </c>
      <c r="C41" t="s">
        <v>21</v>
      </c>
      <c r="D41" t="s">
        <v>22</v>
      </c>
      <c r="E41" t="s">
        <v>23</v>
      </c>
      <c r="F41" t="s">
        <v>22</v>
      </c>
      <c r="G41" t="s">
        <v>23</v>
      </c>
      <c r="H41" t="s">
        <v>540</v>
      </c>
      <c r="I41" t="s">
        <v>289</v>
      </c>
      <c r="J41" t="s">
        <v>26</v>
      </c>
    </row>
    <row r="42" spans="1:10" x14ac:dyDescent="0.25">
      <c r="A42" t="s">
        <v>145</v>
      </c>
      <c r="B42" t="s">
        <v>28</v>
      </c>
      <c r="C42" t="s">
        <v>28</v>
      </c>
      <c r="D42" t="s">
        <v>22</v>
      </c>
      <c r="E42" t="s">
        <v>23</v>
      </c>
      <c r="F42" t="s">
        <v>22</v>
      </c>
      <c r="G42" t="s">
        <v>23</v>
      </c>
      <c r="H42" t="s">
        <v>541</v>
      </c>
      <c r="I42" t="s">
        <v>542</v>
      </c>
      <c r="J42" t="s">
        <v>26</v>
      </c>
    </row>
    <row r="43" spans="1:10" x14ac:dyDescent="0.25">
      <c r="A43" t="s">
        <v>148</v>
      </c>
      <c r="B43" t="s">
        <v>28</v>
      </c>
      <c r="C43" t="s">
        <v>28</v>
      </c>
      <c r="D43" t="s">
        <v>22</v>
      </c>
      <c r="E43" t="s">
        <v>23</v>
      </c>
      <c r="F43" t="s">
        <v>22</v>
      </c>
      <c r="G43" t="s">
        <v>23</v>
      </c>
      <c r="H43" t="s">
        <v>543</v>
      </c>
      <c r="I43" t="s">
        <v>544</v>
      </c>
      <c r="J43" t="s">
        <v>26</v>
      </c>
    </row>
    <row r="44" spans="1:10" x14ac:dyDescent="0.25">
      <c r="A44" t="s">
        <v>151</v>
      </c>
      <c r="B44" t="s">
        <v>28</v>
      </c>
      <c r="C44" t="s">
        <v>28</v>
      </c>
      <c r="D44" t="s">
        <v>22</v>
      </c>
      <c r="E44" t="s">
        <v>23</v>
      </c>
      <c r="F44" t="s">
        <v>22</v>
      </c>
      <c r="G44" t="s">
        <v>23</v>
      </c>
      <c r="H44" t="s">
        <v>545</v>
      </c>
      <c r="I44" t="s">
        <v>546</v>
      </c>
      <c r="J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0F188-D221-496A-BBE7-96ABE8BBC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NIC</vt:lpstr>
      <vt:lpstr>BRIGHTNESS</vt:lpstr>
      <vt:lpstr>NOISE</vt:lpstr>
      <vt:lpstr>CLAHE</vt:lpstr>
      <vt:lpstr>ALL</vt:lpstr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SSSS</dc:creator>
  <cp:lastModifiedBy>Jakub SSSS</cp:lastModifiedBy>
  <dcterms:created xsi:type="dcterms:W3CDTF">2015-06-05T18:19:34Z</dcterms:created>
  <dcterms:modified xsi:type="dcterms:W3CDTF">2026-04-13T15:42:36Z</dcterms:modified>
</cp:coreProperties>
</file>