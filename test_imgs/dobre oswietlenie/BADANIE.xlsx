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ub\PythonProjects\ripo\test_imgs\"/>
    </mc:Choice>
  </mc:AlternateContent>
  <xr:revisionPtr revIDLastSave="0" documentId="13_ncr:1_{4D8938B7-D83E-4D6A-9A80-DE8EF5CA549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LAHE" sheetId="3" r:id="rId1"/>
    <sheet name="Arkusz1" sheetId="1" r:id="rId2"/>
    <sheet name="ALL" sheetId="8" r:id="rId3"/>
  </sheets>
  <definedNames>
    <definedName name="ExternalData_2" localSheetId="0" hidden="1">'CLAHE'!$A$1:$J$45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/>
  <c r="N3" i="8"/>
  <c r="O2" i="8"/>
  <c r="O4" i="8" s="1"/>
  <c r="N2" i="8"/>
  <c r="N4" i="8" s="1"/>
  <c r="O3" i="3"/>
  <c r="N3" i="3"/>
  <c r="O2" i="3"/>
  <c r="O4" i="3" s="1"/>
  <c r="N2" i="3"/>
  <c r="N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4B481-637B-4D9E-A7C4-E3EABDB42663}" keepAlive="1" name="Zapytanie — ALL" description="Połączenie z zapytaniem „ALL” w skoroszycie." type="5" refreshedVersion="8" background="1" saveData="1">
    <dbPr connection="Provider=Microsoft.Mashup.OleDb.1;Data Source=$Workbook$;Location=ALL;Extended Properties=&quot;&quot;" command="SELECT * FROM [ALL]"/>
  </connection>
  <connection id="2" xr16:uid="{5B03A5B9-A2EC-4E2B-94B0-A261FA0E2BE6}" keepAlive="1" name="Zapytanie — BRIGHTNESS" description="Połączenie z zapytaniem „BRIGHTNESS” w skoroszycie." type="5" refreshedVersion="8" background="1" saveData="1">
    <dbPr connection="Provider=Microsoft.Mashup.OleDb.1;Data Source=$Workbook$;Location=BRIGHTNESS;Extended Properties=&quot;&quot;" command="SELECT * FROM [BRIGHTNESS]"/>
  </connection>
  <connection id="3" xr16:uid="{ED0A19DD-77D4-4489-A830-C7DF2BAAFFEA}" keepAlive="1" name="Zapytanie — CLAHE" description="Połączenie z zapytaniem „CLAHE” w skoroszycie." type="5" refreshedVersion="8" background="1" saveData="1">
    <dbPr connection="Provider=Microsoft.Mashup.OleDb.1;Data Source=$Workbook$;Location=CLAHE;Extended Properties=&quot;&quot;" command="SELECT * FROM [CLAHE]"/>
  </connection>
  <connection id="4" xr16:uid="{83E85436-C17D-4402-BB32-CC2DDFAF50ED}" keepAlive="1" name="Zapytanie — NIC" description="Połączenie z zapytaniem „NIC” w skoroszycie." type="5" refreshedVersion="8" background="1" saveData="1">
    <dbPr connection="Provider=Microsoft.Mashup.OleDb.1;Data Source=$Workbook$;Location=NIC;Extended Properties=&quot;&quot;" command="SELECT * FROM [NIC]"/>
  </connection>
  <connection id="5" xr16:uid="{C3A5A1F8-D69C-42BA-966E-C4B7C2556820}" keepAlive="1" name="Zapytanie — NOISE" description="Połączenie z zapytaniem „NOISE” w skoroszycie." type="5" refreshedVersion="8" background="1" saveData="1">
    <dbPr connection="Provider=Microsoft.Mashup.OleDb.1;Data Source=$Workbook$;Location=NOISE;Extended Properties=&quot;&quot;" command="SELECT * FROM [NOISE]"/>
  </connection>
</connections>
</file>

<file path=xl/sharedStrings.xml><?xml version="1.0" encoding="utf-8"?>
<sst xmlns="http://schemas.openxmlformats.org/spreadsheetml/2006/main" count="1340" uniqueCount="371">
  <si>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</si>
  <si>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</si>
  <si>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</si>
  <si>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</si>
  <si>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</si>
  <si>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</si>
  <si>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</si>
  <si>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</si>
  <si>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</si>
  <si>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</si>
  <si>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Nazwa pliku</t>
  </si>
  <si>
    <t>Oryginalna etykieta</t>
  </si>
  <si>
    <t>Klasyfikacja</t>
  </si>
  <si>
    <t>CLAHE</t>
  </si>
  <si>
    <t>NOISE REDUCTION</t>
  </si>
  <si>
    <t>NORMALIZACJA JASNOSCI</t>
  </si>
  <si>
    <t>KOREKCJA GAMMA</t>
  </si>
  <si>
    <t>Left EAR</t>
  </si>
  <si>
    <t>Right EAR</t>
  </si>
  <si>
    <t>EAR threshold</t>
  </si>
  <si>
    <t>CLOSED_1.jpg</t>
  </si>
  <si>
    <t>CLOSED</t>
  </si>
  <si>
    <t>YES</t>
  </si>
  <si>
    <t>NO</t>
  </si>
  <si>
    <t>0.1800</t>
  </si>
  <si>
    <t>CLOSED_10.jpg</t>
  </si>
  <si>
    <t>OPEN</t>
  </si>
  <si>
    <t>CLOSED_11.jpg</t>
  </si>
  <si>
    <t>CLOSED_12.jpg</t>
  </si>
  <si>
    <t>0.2749</t>
  </si>
  <si>
    <t>CLOSED_13.jpg</t>
  </si>
  <si>
    <t>CLOSED_14.jpg</t>
  </si>
  <si>
    <t>0.1522</t>
  </si>
  <si>
    <t>CLOSED_15.jpg</t>
  </si>
  <si>
    <t>CLOSED_16.jpg</t>
  </si>
  <si>
    <t>CLOSED_17.jpg</t>
  </si>
  <si>
    <t>0.1615</t>
  </si>
  <si>
    <t>CLOSED_18.jpg</t>
  </si>
  <si>
    <t>0.1534</t>
  </si>
  <si>
    <t>CLOSED_2.jpg</t>
  </si>
  <si>
    <t>CLOSED_3.jpg</t>
  </si>
  <si>
    <t>CLOSED_4.jpg</t>
  </si>
  <si>
    <t>0.0847</t>
  </si>
  <si>
    <t>CLOSED_5.jpg</t>
  </si>
  <si>
    <t>CLOSED_6.jpg</t>
  </si>
  <si>
    <t>0.1747</t>
  </si>
  <si>
    <t>CLOSED_7.jpg</t>
  </si>
  <si>
    <t>CLOSED_8.jpg</t>
  </si>
  <si>
    <t>CLOSED_9.jpg</t>
  </si>
  <si>
    <t>OPEN_1.jpg</t>
  </si>
  <si>
    <t>OPEN_10.jpg</t>
  </si>
  <si>
    <t>OPEN_11.jpg</t>
  </si>
  <si>
    <t>OPEN_13.jpg</t>
  </si>
  <si>
    <t>OPEN_14.jpg</t>
  </si>
  <si>
    <t>OPEN_15.jpg</t>
  </si>
  <si>
    <t>0.2635</t>
  </si>
  <si>
    <t>OPEN_16.jpg</t>
  </si>
  <si>
    <t>0.2006</t>
  </si>
  <si>
    <t>OPEN_17.jpg</t>
  </si>
  <si>
    <t>OPEN_18.jpg</t>
  </si>
  <si>
    <t>0.2676</t>
  </si>
  <si>
    <t>OPEN_19.jpg</t>
  </si>
  <si>
    <t>OPEN_2.jpg</t>
  </si>
  <si>
    <t>OPEN_20.jpg</t>
  </si>
  <si>
    <t>OPEN_21.jpg</t>
  </si>
  <si>
    <t>OPEN_22.jpg</t>
  </si>
  <si>
    <t>OPEN_23.jpg</t>
  </si>
  <si>
    <t>0.2292</t>
  </si>
  <si>
    <t>OPEN_24.jpg</t>
  </si>
  <si>
    <t>OPEN_25.jpg</t>
  </si>
  <si>
    <t>0.2788</t>
  </si>
  <si>
    <t>OPEN_26.jpg</t>
  </si>
  <si>
    <t>OPEN_3.jpg</t>
  </si>
  <si>
    <t>OPEN_4.jpg</t>
  </si>
  <si>
    <t>OPEN_5.jpg</t>
  </si>
  <si>
    <t>OPEN_6.jpg</t>
  </si>
  <si>
    <t>OPEN_7.jpg</t>
  </si>
  <si>
    <t>0.2299</t>
  </si>
  <si>
    <t>OPEN_8.jpg</t>
  </si>
  <si>
    <t>0.2818</t>
  </si>
  <si>
    <t>OPEN_9.jpg</t>
  </si>
  <si>
    <t>0.0943</t>
  </si>
  <si>
    <t>0.1013</t>
  </si>
  <si>
    <t>0.2871</t>
  </si>
  <si>
    <t>0.1418</t>
  </si>
  <si>
    <t>0.1244</t>
  </si>
  <si>
    <t>0.2738</t>
  </si>
  <si>
    <t>0.2593</t>
  </si>
  <si>
    <t>0.2339</t>
  </si>
  <si>
    <t>0.1064</t>
  </si>
  <si>
    <t>0.1377</t>
  </si>
  <si>
    <t>0.1924</t>
  </si>
  <si>
    <t>0.0570</t>
  </si>
  <si>
    <t>0.1773</t>
  </si>
  <si>
    <t>0.0659</t>
  </si>
  <si>
    <t>0.1270</t>
  </si>
  <si>
    <t>0.0761</t>
  </si>
  <si>
    <t>0.1786</t>
  </si>
  <si>
    <t>0.1447</t>
  </si>
  <si>
    <t>0.0917</t>
  </si>
  <si>
    <t>0.2907</t>
  </si>
  <si>
    <t>0.2885</t>
  </si>
  <si>
    <t>0.1083</t>
  </si>
  <si>
    <t>0.0821</t>
  </si>
  <si>
    <t>0.0723</t>
  </si>
  <si>
    <t>0.1061</t>
  </si>
  <si>
    <t>0.1006</t>
  </si>
  <si>
    <t>0.1900</t>
  </si>
  <si>
    <t>0.0972</t>
  </si>
  <si>
    <t>0.0729</t>
  </si>
  <si>
    <t>0.0948</t>
  </si>
  <si>
    <t>0.0611</t>
  </si>
  <si>
    <t>0.0148</t>
  </si>
  <si>
    <t>0.2932</t>
  </si>
  <si>
    <t>0.2586</t>
  </si>
  <si>
    <t>0.2590</t>
  </si>
  <si>
    <t>0.2152</t>
  </si>
  <si>
    <t>0.3266</t>
  </si>
  <si>
    <t>0.2063</t>
  </si>
  <si>
    <t>0.1748</t>
  </si>
  <si>
    <t>0.2828</t>
  </si>
  <si>
    <t>0.2960</t>
  </si>
  <si>
    <t>0.2569</t>
  </si>
  <si>
    <t>0.2706</t>
  </si>
  <si>
    <t>0.2139</t>
  </si>
  <si>
    <t>0.2208</t>
  </si>
  <si>
    <t>0.1967</t>
  </si>
  <si>
    <t>0.2396</t>
  </si>
  <si>
    <t>0.2630</t>
  </si>
  <si>
    <t>0.2601</t>
  </si>
  <si>
    <t>0.2408</t>
  </si>
  <si>
    <t>0.2454</t>
  </si>
  <si>
    <t>0.2255</t>
  </si>
  <si>
    <t>0.2065</t>
  </si>
  <si>
    <t>0.2812</t>
  </si>
  <si>
    <t>0.2800</t>
  </si>
  <si>
    <t>0.2667</t>
  </si>
  <si>
    <t>0.2711</t>
  </si>
  <si>
    <t>0.1963</t>
  </si>
  <si>
    <t>0.2295</t>
  </si>
  <si>
    <t>0.1245</t>
  </si>
  <si>
    <t>0.0952</t>
  </si>
  <si>
    <t>0.2985</t>
  </si>
  <si>
    <t>0.2854</t>
  </si>
  <si>
    <t>0.2276</t>
  </si>
  <si>
    <t>0.2502</t>
  </si>
  <si>
    <t>0.2113</t>
  </si>
  <si>
    <t>0.1814</t>
  </si>
  <si>
    <t>0.2576</t>
  </si>
  <si>
    <t>0.2307</t>
  </si>
  <si>
    <t>0.2988</t>
  </si>
  <si>
    <t>0.2318</t>
  </si>
  <si>
    <t>0.1941</t>
  </si>
  <si>
    <t>0.2603</t>
  </si>
  <si>
    <t>0.2934</t>
  </si>
  <si>
    <t>0.2176</t>
  </si>
  <si>
    <t>0.3396</t>
  </si>
  <si>
    <t>0.3000</t>
  </si>
  <si>
    <t>0.4515</t>
  </si>
  <si>
    <t>0.3723</t>
  </si>
  <si>
    <t>0.2274</t>
  </si>
  <si>
    <t>0.1164</t>
  </si>
  <si>
    <t>0.2496</t>
  </si>
  <si>
    <t>0.1518</t>
  </si>
  <si>
    <t>0.1951</t>
  </si>
  <si>
    <t>0.1685</t>
  </si>
  <si>
    <t>0.2167</t>
  </si>
  <si>
    <t>0.2196</t>
  </si>
  <si>
    <t>0.2127</t>
  </si>
  <si>
    <t>ZGADZA SIĘ</t>
  </si>
  <si>
    <t>SUMA</t>
  </si>
  <si>
    <t>PROCENT</t>
  </si>
  <si>
    <t>NIC</t>
  </si>
  <si>
    <t>NOISE</t>
  </si>
  <si>
    <t>ALL</t>
  </si>
  <si>
    <t>BRIGHTNESS</t>
  </si>
  <si>
    <t>Przetwarzanie</t>
  </si>
  <si>
    <t>Zamknięte</t>
  </si>
  <si>
    <t>Otwarte</t>
  </si>
  <si>
    <t>Żadne</t>
  </si>
  <si>
    <t>Redukcja szumów</t>
  </si>
  <si>
    <t>Normalizacja jasności</t>
  </si>
  <si>
    <t>Wszystkie</t>
  </si>
  <si>
    <t>0.2775</t>
  </si>
  <si>
    <t>0.2473</t>
  </si>
  <si>
    <t>0.2910</t>
  </si>
  <si>
    <t>0.1832</t>
  </si>
  <si>
    <t>CLOSED_20.jpg</t>
  </si>
  <si>
    <t>CLOSED_21.jpg</t>
  </si>
  <si>
    <t>CLOSED_22.jpg</t>
  </si>
  <si>
    <t>CLOSED_23.jpg</t>
  </si>
  <si>
    <t>CLOSED_24.jpg</t>
  </si>
  <si>
    <t>CLOSED_25.jpg</t>
  </si>
  <si>
    <t>CLOSED_26.jpg</t>
  </si>
  <si>
    <t>CLOSED_27.jpg</t>
  </si>
  <si>
    <t>CLOSED_28.jpg</t>
  </si>
  <si>
    <t>CLOSED_29.jpg</t>
  </si>
  <si>
    <t>CLOSED_30.jpg</t>
  </si>
  <si>
    <t>CLOSED_31.jpg</t>
  </si>
  <si>
    <t>CLOSED_32.jpg</t>
  </si>
  <si>
    <t>0.1706</t>
  </si>
  <si>
    <t>CLOSED_34.jpg</t>
  </si>
  <si>
    <t>CLOSED_36.jpg</t>
  </si>
  <si>
    <t>CLOSED_37.jpg</t>
  </si>
  <si>
    <t>CLOSED_39.jpg</t>
  </si>
  <si>
    <t>CLOSED_40.jpg</t>
  </si>
  <si>
    <t>CLOSED_42.jpg</t>
  </si>
  <si>
    <t>CLOSED_43.jpg</t>
  </si>
  <si>
    <t>CLOSED_45.jpg</t>
  </si>
  <si>
    <t>CLOSED_47.jpg</t>
  </si>
  <si>
    <t>CLOSED_49.jpg</t>
  </si>
  <si>
    <t>0.1350</t>
  </si>
  <si>
    <t>CLOSED_50.jpg</t>
  </si>
  <si>
    <t>OPEN_12.jpg</t>
  </si>
  <si>
    <t>0.2734</t>
  </si>
  <si>
    <t>OPEN_27.jpg</t>
  </si>
  <si>
    <t>OPEN_28.jpg</t>
  </si>
  <si>
    <t>OPEN_29.jpg</t>
  </si>
  <si>
    <t>OPEN_30.jpg</t>
  </si>
  <si>
    <t>OPEN_31.jpg</t>
  </si>
  <si>
    <t>OPEN_32.jpg</t>
  </si>
  <si>
    <t>OPEN_33.jpg</t>
  </si>
  <si>
    <t>OPEN_34.jpg</t>
  </si>
  <si>
    <t>OPEN_35.jpg</t>
  </si>
  <si>
    <t>OPEN_36.jpg</t>
  </si>
  <si>
    <t>OPEN_37.jpg</t>
  </si>
  <si>
    <t>OPEN_38.jpg</t>
  </si>
  <si>
    <t>OPEN_39.jpg</t>
  </si>
  <si>
    <t>OPEN_40.jpg</t>
  </si>
  <si>
    <t>OPEN_42.jpg</t>
  </si>
  <si>
    <t>OPEN_43.jpg</t>
  </si>
  <si>
    <t>0.1675</t>
  </si>
  <si>
    <t>OPEN_44.jpg</t>
  </si>
  <si>
    <t>OPEN_46.jpg</t>
  </si>
  <si>
    <t>OPEN_48.jpg</t>
  </si>
  <si>
    <t>OPEN_49.jpg</t>
  </si>
  <si>
    <t>OPEN_50.jpg</t>
  </si>
  <si>
    <t>0.2954</t>
  </si>
  <si>
    <t>BEZ OKSOW</t>
  </si>
  <si>
    <t>CLOSED_19.jpg</t>
  </si>
  <si>
    <t>0.1648</t>
  </si>
  <si>
    <t>0.1516</t>
  </si>
  <si>
    <t>0.1416</t>
  </si>
  <si>
    <t>0.2689</t>
  </si>
  <si>
    <t>0.2990</t>
  </si>
  <si>
    <t>0.2621</t>
  </si>
  <si>
    <t>0.1020</t>
  </si>
  <si>
    <t>0.1132</t>
  </si>
  <si>
    <t>0.1687</t>
  </si>
  <si>
    <t>0.2431</t>
  </si>
  <si>
    <t>0.2250</t>
  </si>
  <si>
    <t>0.2168</t>
  </si>
  <si>
    <t>0.2961</t>
  </si>
  <si>
    <t>0.2573</t>
  </si>
  <si>
    <t>0.3066</t>
  </si>
  <si>
    <t>0.1176</t>
  </si>
  <si>
    <t>0.0851</t>
  </si>
  <si>
    <t>0.3186</t>
  </si>
  <si>
    <t>0.1844</t>
  </si>
  <si>
    <t>0.2433</t>
  </si>
  <si>
    <t>0.3068</t>
  </si>
  <si>
    <t>0.2881</t>
  </si>
  <si>
    <t>0.1598</t>
  </si>
  <si>
    <t>0.2305</t>
  </si>
  <si>
    <t>0.2629</t>
  </si>
  <si>
    <t>0.2077</t>
  </si>
  <si>
    <t>0.2695</t>
  </si>
  <si>
    <t>0.0997</t>
  </si>
  <si>
    <t>0.2487</t>
  </si>
  <si>
    <t>0.1191</t>
  </si>
  <si>
    <t>CLOSED_33.jpg</t>
  </si>
  <si>
    <t>CLOSED_35.jpg</t>
  </si>
  <si>
    <t>0.0949</t>
  </si>
  <si>
    <t>0.2966</t>
  </si>
  <si>
    <t>0.2817</t>
  </si>
  <si>
    <t>0.2570</t>
  </si>
  <si>
    <t>OPEN_41.jpg</t>
  </si>
  <si>
    <t>0.3099</t>
  </si>
  <si>
    <t>OKSY</t>
  </si>
  <si>
    <t>0.1296</t>
  </si>
  <si>
    <t>0.2648</t>
  </si>
  <si>
    <t>0.2482</t>
  </si>
  <si>
    <t>0.1182</t>
  </si>
  <si>
    <t>0.2258</t>
  </si>
  <si>
    <t>0.2643</t>
  </si>
  <si>
    <t>0.2155</t>
  </si>
  <si>
    <t>0.2345</t>
  </si>
  <si>
    <t>0.1021</t>
  </si>
  <si>
    <t>0.1205</t>
  </si>
  <si>
    <t>0.2468</t>
  </si>
  <si>
    <t>0.2865</t>
  </si>
  <si>
    <t>0.1001</t>
  </si>
  <si>
    <t>0.0721</t>
  </si>
  <si>
    <t>0.1109</t>
  </si>
  <si>
    <t>0.0870</t>
  </si>
  <si>
    <t>0.1574</t>
  </si>
  <si>
    <t>0.1348</t>
  </si>
  <si>
    <t>0.1646</t>
  </si>
  <si>
    <t>0.1177</t>
  </si>
  <si>
    <t>0.2013</t>
  </si>
  <si>
    <t>0.1649</t>
  </si>
  <si>
    <t>0.1578</t>
  </si>
  <si>
    <t>0.1672</t>
  </si>
  <si>
    <t>0.0707</t>
  </si>
  <si>
    <t>0.0780</t>
  </si>
  <si>
    <t>0.1222</t>
  </si>
  <si>
    <t>0.1150</t>
  </si>
  <si>
    <t>0.2456</t>
  </si>
  <si>
    <t>0.2253</t>
  </si>
  <si>
    <t>0.1754</t>
  </si>
  <si>
    <t>0.2631</t>
  </si>
  <si>
    <t>0.1339</t>
  </si>
  <si>
    <t>0.1709</t>
  </si>
  <si>
    <t>0.1912</t>
  </si>
  <si>
    <t>0.1856</t>
  </si>
  <si>
    <t>0.1842</t>
  </si>
  <si>
    <t>0.5766</t>
  </si>
  <si>
    <t>0.1291</t>
  </si>
  <si>
    <t>0.1588</t>
  </si>
  <si>
    <t>0.1538</t>
  </si>
  <si>
    <t>0.2080</t>
  </si>
  <si>
    <t>0.1631</t>
  </si>
  <si>
    <t>0.1446</t>
  </si>
  <si>
    <t>0.1310</t>
  </si>
  <si>
    <t>0.1335</t>
  </si>
  <si>
    <t>0.1163</t>
  </si>
  <si>
    <t>0.0812</t>
  </si>
  <si>
    <t>0.0934</t>
  </si>
  <si>
    <t>0.1229</t>
  </si>
  <si>
    <t>0.1530</t>
  </si>
  <si>
    <t>0.1180</t>
  </si>
  <si>
    <t>0.2316</t>
  </si>
  <si>
    <t>0.1859</t>
  </si>
  <si>
    <t>0.2853</t>
  </si>
  <si>
    <t>0.1718</t>
  </si>
  <si>
    <t>0.2716</t>
  </si>
  <si>
    <t>0.2784</t>
  </si>
  <si>
    <t>0.1923</t>
  </si>
  <si>
    <t>0.2823</t>
  </si>
  <si>
    <t>0.2153</t>
  </si>
  <si>
    <t>0.2659</t>
  </si>
  <si>
    <t>0.2096</t>
  </si>
  <si>
    <t>0.2674</t>
  </si>
  <si>
    <t>0.2658</t>
  </si>
  <si>
    <t>0.2240</t>
  </si>
  <si>
    <t>0.2864</t>
  </si>
  <si>
    <t>0.2278</t>
  </si>
  <si>
    <t>0.2281</t>
  </si>
  <si>
    <t>0.2131</t>
  </si>
  <si>
    <t>0.2909</t>
  </si>
  <si>
    <t>0.2794</t>
  </si>
  <si>
    <t>0.2707</t>
  </si>
  <si>
    <t>0.2912</t>
  </si>
  <si>
    <t>0.3270</t>
  </si>
  <si>
    <t>0.1735</t>
  </si>
  <si>
    <t>0.1313</t>
  </si>
  <si>
    <t>0.2015</t>
  </si>
  <si>
    <t>0.2130</t>
  </si>
  <si>
    <t>0.2003</t>
  </si>
  <si>
    <t>0.3022</t>
  </si>
  <si>
    <t>0.2925</t>
  </si>
  <si>
    <t>0.1027</t>
  </si>
  <si>
    <t>0.2320</t>
  </si>
  <si>
    <t>0.2235</t>
  </si>
  <si>
    <t>0.2540</t>
  </si>
  <si>
    <t>0.2185</t>
  </si>
  <si>
    <t>0.2721</t>
  </si>
  <si>
    <t>0.2671</t>
  </si>
  <si>
    <t>0.2922</t>
  </si>
  <si>
    <t>Z okularami</t>
  </si>
  <si>
    <t>Bez okularów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</si>
</sst>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ny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A41538E-44E6-41E3-91C7-998E95AE231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7D75C0-4017-4F7A-B4EC-3DE5779C75A2}" name="CLAHE" displayName="CLAHE" ref="A1:J45" tableType="queryTable" totalsRowShown="0">
  <autoFilter ref="A1:J45" xr:uid="{9A7D75C0-4017-4F7A-B4EC-3DE5779C75A2}"/>
  <tableColumns count="10">
    <tableColumn id="1" xr3:uid="{4941D7DE-C72B-4E39-B45F-B4ABC46C5A2D}" uniqueName="1" name="Column1" queryTableFieldId="1" dataDxfId="9"/>
    <tableColumn id="2" xr3:uid="{D1CB387E-A163-4DAB-BCC2-876D958625A4}" uniqueName="2" name="Column2" queryTableFieldId="2" dataDxfId="8"/>
    <tableColumn id="3" xr3:uid="{8C21D541-5EF4-4E1C-A9EE-494B4F838529}" uniqueName="3" name="Column3" queryTableFieldId="3" dataDxfId="7"/>
    <tableColumn id="4" xr3:uid="{8185D672-BCDF-47A1-AF13-5C238EC362C9}" uniqueName="4" name="Column4" queryTableFieldId="4" dataDxfId="6"/>
    <tableColumn id="5" xr3:uid="{4A31FC6B-A658-4811-974E-8F88227A9CD1}" uniqueName="5" name="Column5" queryTableFieldId="5" dataDxfId="5"/>
    <tableColumn id="6" xr3:uid="{7886C6FB-BC6A-4E2E-92A0-4126FC311AC0}" uniqueName="6" name="Column6" queryTableFieldId="6" dataDxfId="4"/>
    <tableColumn id="7" xr3:uid="{0DFEC6B3-9813-4066-BC79-55C79EA51DD8}" uniqueName="7" name="Column7" queryTableFieldId="7" dataDxfId="3"/>
    <tableColumn id="8" xr3:uid="{4ECEEAEA-B823-4D92-AEB3-15B1B4260E01}" uniqueName="8" name="Column8" queryTableFieldId="8" dataDxfId="2"/>
    <tableColumn id="9" xr3:uid="{4B456CD1-8BF7-4BF3-9266-E424065CB62C}" uniqueName="9" name="Column9" queryTableFieldId="9" dataDxfId="1"/>
    <tableColumn id="10" xr3:uid="{0B088BCA-19EB-458A-B1DC-FA85B1D268A2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761B-BBE7-4ECC-B95F-143477712FE2}">
  <dimension ref="A1:O45"/>
  <sheetViews>
    <sheetView workbookViewId="0">
      <selection activeCell="M1" sqref="M1:O4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11.28515625" bestFit="1" customWidth="1"/>
    <col min="4" max="4" width="11.140625" bestFit="1" customWidth="1"/>
    <col min="5" max="5" width="17.42578125" bestFit="1" customWidth="1"/>
    <col min="6" max="6" width="24.28515625" bestFit="1" customWidth="1"/>
    <col min="7" max="7" width="18" bestFit="1" customWidth="1"/>
    <col min="8" max="9" width="11.140625" bestFit="1" customWidth="1"/>
    <col min="10" max="10" width="13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1"/>
      <c r="N1" s="1" t="s">
        <v>21</v>
      </c>
      <c r="O1" s="1" t="s">
        <v>26</v>
      </c>
    </row>
    <row r="2" spans="1:1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M2" s="1" t="s">
        <v>169</v>
      </c>
      <c r="N2">
        <f>COUNTIFS(B:B, "CLOSED", C:C, "CLOSED")</f>
        <v>17</v>
      </c>
      <c r="O2">
        <f>COUNTIFS(B:B, "OPEN", C:C, "OPEN")</f>
        <v>23</v>
      </c>
    </row>
    <row r="3" spans="1:15" x14ac:dyDescent="0.25">
      <c r="A3" t="s">
        <v>20</v>
      </c>
      <c r="B3" t="s">
        <v>21</v>
      </c>
      <c r="C3" t="s">
        <v>21</v>
      </c>
      <c r="D3" t="s">
        <v>22</v>
      </c>
      <c r="E3" t="s">
        <v>23</v>
      </c>
      <c r="F3" t="s">
        <v>23</v>
      </c>
      <c r="G3" t="s">
        <v>23</v>
      </c>
      <c r="H3" t="s">
        <v>81</v>
      </c>
      <c r="I3" t="s">
        <v>82</v>
      </c>
      <c r="J3" t="s">
        <v>24</v>
      </c>
      <c r="M3" s="1" t="s">
        <v>170</v>
      </c>
      <c r="N3">
        <f>COUNTIFS(B:B, "CLOSED")</f>
        <v>18</v>
      </c>
      <c r="O3">
        <f>COUNTIFS(B:B, "OPEN")</f>
        <v>25</v>
      </c>
    </row>
    <row r="4" spans="1:15" x14ac:dyDescent="0.25">
      <c r="A4" t="s">
        <v>25</v>
      </c>
      <c r="B4" t="s">
        <v>21</v>
      </c>
      <c r="C4" t="s">
        <v>21</v>
      </c>
      <c r="D4" t="s">
        <v>22</v>
      </c>
      <c r="E4" t="s">
        <v>23</v>
      </c>
      <c r="F4" t="s">
        <v>23</v>
      </c>
      <c r="G4" t="s">
        <v>23</v>
      </c>
      <c r="H4" t="s">
        <v>83</v>
      </c>
      <c r="I4" t="s">
        <v>84</v>
      </c>
      <c r="J4" t="s">
        <v>24</v>
      </c>
      <c r="M4" s="1" t="s">
        <v>171</v>
      </c>
      <c r="N4">
        <f>N2/N3</f>
        <v>0.94444444444444442</v>
      </c>
      <c r="O4">
        <f>O2/O3</f>
        <v>0.92</v>
      </c>
    </row>
    <row r="5" spans="1:15" x14ac:dyDescent="0.25">
      <c r="A5" t="s">
        <v>27</v>
      </c>
      <c r="B5" t="s">
        <v>21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85</v>
      </c>
      <c r="I5" t="s">
        <v>86</v>
      </c>
      <c r="J5" t="s">
        <v>24</v>
      </c>
    </row>
    <row r="6" spans="1:15" x14ac:dyDescent="0.25">
      <c r="A6" t="s">
        <v>28</v>
      </c>
      <c r="B6" t="s">
        <v>21</v>
      </c>
      <c r="C6" t="s">
        <v>26</v>
      </c>
      <c r="D6" t="s">
        <v>22</v>
      </c>
      <c r="E6" t="s">
        <v>23</v>
      </c>
      <c r="F6" t="s">
        <v>23</v>
      </c>
      <c r="G6" t="s">
        <v>23</v>
      </c>
      <c r="H6" t="s">
        <v>87</v>
      </c>
      <c r="I6" t="s">
        <v>88</v>
      </c>
      <c r="J6" t="s">
        <v>24</v>
      </c>
    </row>
    <row r="7" spans="1:15" x14ac:dyDescent="0.25">
      <c r="A7" t="s">
        <v>30</v>
      </c>
      <c r="B7" t="s">
        <v>21</v>
      </c>
      <c r="C7" t="s">
        <v>21</v>
      </c>
      <c r="D7" t="s">
        <v>22</v>
      </c>
      <c r="E7" t="s">
        <v>23</v>
      </c>
      <c r="F7" t="s">
        <v>23</v>
      </c>
      <c r="G7" t="s">
        <v>23</v>
      </c>
      <c r="H7" t="s">
        <v>89</v>
      </c>
      <c r="I7" t="s">
        <v>90</v>
      </c>
      <c r="J7" t="s">
        <v>24</v>
      </c>
    </row>
    <row r="8" spans="1:15" x14ac:dyDescent="0.25">
      <c r="A8" t="s">
        <v>31</v>
      </c>
      <c r="B8" t="s">
        <v>21</v>
      </c>
      <c r="C8" t="s">
        <v>21</v>
      </c>
      <c r="D8" t="s">
        <v>22</v>
      </c>
      <c r="E8" t="s">
        <v>23</v>
      </c>
      <c r="F8" t="s">
        <v>23</v>
      </c>
      <c r="G8" t="s">
        <v>23</v>
      </c>
      <c r="H8" t="s">
        <v>90</v>
      </c>
      <c r="I8" t="s">
        <v>91</v>
      </c>
      <c r="J8" t="s">
        <v>24</v>
      </c>
    </row>
    <row r="9" spans="1:15" x14ac:dyDescent="0.25">
      <c r="A9" t="s">
        <v>33</v>
      </c>
      <c r="B9" t="s">
        <v>21</v>
      </c>
      <c r="C9" t="s">
        <v>21</v>
      </c>
      <c r="D9" t="s">
        <v>22</v>
      </c>
      <c r="E9" t="s">
        <v>23</v>
      </c>
      <c r="F9" t="s">
        <v>23</v>
      </c>
      <c r="G9" t="s">
        <v>23</v>
      </c>
      <c r="H9" t="s">
        <v>92</v>
      </c>
      <c r="I9" t="s">
        <v>93</v>
      </c>
      <c r="J9" t="s">
        <v>24</v>
      </c>
    </row>
    <row r="10" spans="1:15" x14ac:dyDescent="0.25">
      <c r="A10" t="s">
        <v>34</v>
      </c>
      <c r="B10" t="s">
        <v>21</v>
      </c>
      <c r="C10" t="s">
        <v>21</v>
      </c>
      <c r="D10" t="s">
        <v>22</v>
      </c>
      <c r="E10" t="s">
        <v>23</v>
      </c>
      <c r="F10" t="s">
        <v>23</v>
      </c>
      <c r="G10" t="s">
        <v>23</v>
      </c>
      <c r="H10" t="s">
        <v>94</v>
      </c>
      <c r="I10" t="s">
        <v>95</v>
      </c>
      <c r="J10" t="s">
        <v>24</v>
      </c>
    </row>
    <row r="11" spans="1:15" x14ac:dyDescent="0.25">
      <c r="A11" t="s">
        <v>35</v>
      </c>
      <c r="B11" t="s">
        <v>21</v>
      </c>
      <c r="C11" t="s">
        <v>21</v>
      </c>
      <c r="D11" t="s">
        <v>22</v>
      </c>
      <c r="E11" t="s">
        <v>23</v>
      </c>
      <c r="F11" t="s">
        <v>23</v>
      </c>
      <c r="G11" t="s">
        <v>23</v>
      </c>
      <c r="H11" t="s">
        <v>96</v>
      </c>
      <c r="I11" t="s">
        <v>38</v>
      </c>
      <c r="J11" t="s">
        <v>24</v>
      </c>
    </row>
    <row r="12" spans="1:15" x14ac:dyDescent="0.25">
      <c r="A12" t="s">
        <v>37</v>
      </c>
      <c r="B12" t="s">
        <v>21</v>
      </c>
      <c r="C12" t="s">
        <v>21</v>
      </c>
      <c r="D12" t="s">
        <v>22</v>
      </c>
      <c r="E12" t="s">
        <v>23</v>
      </c>
      <c r="F12" t="s">
        <v>23</v>
      </c>
      <c r="G12" t="s">
        <v>23</v>
      </c>
      <c r="H12" t="s">
        <v>97</v>
      </c>
      <c r="I12" t="s">
        <v>98</v>
      </c>
      <c r="J12" t="s">
        <v>24</v>
      </c>
    </row>
    <row r="13" spans="1:15" x14ac:dyDescent="0.25">
      <c r="A13" t="s">
        <v>39</v>
      </c>
      <c r="B13" t="s">
        <v>21</v>
      </c>
      <c r="C13" t="s">
        <v>21</v>
      </c>
      <c r="D13" t="s">
        <v>22</v>
      </c>
      <c r="E13" t="s">
        <v>23</v>
      </c>
      <c r="F13" t="s">
        <v>23</v>
      </c>
      <c r="G13" t="s">
        <v>23</v>
      </c>
      <c r="H13" t="s">
        <v>99</v>
      </c>
      <c r="I13" t="s">
        <v>100</v>
      </c>
      <c r="J13" t="s">
        <v>24</v>
      </c>
    </row>
    <row r="14" spans="1:15" x14ac:dyDescent="0.25">
      <c r="A14" t="s">
        <v>40</v>
      </c>
      <c r="B14" t="s">
        <v>21</v>
      </c>
      <c r="C14" t="s">
        <v>21</v>
      </c>
      <c r="D14" t="s">
        <v>22</v>
      </c>
      <c r="E14" t="s">
        <v>23</v>
      </c>
      <c r="F14" t="s">
        <v>23</v>
      </c>
      <c r="G14" t="s">
        <v>23</v>
      </c>
      <c r="H14" t="s">
        <v>101</v>
      </c>
      <c r="I14" t="s">
        <v>102</v>
      </c>
      <c r="J14" t="s">
        <v>24</v>
      </c>
    </row>
    <row r="15" spans="1:15" x14ac:dyDescent="0.25">
      <c r="A15" t="s">
        <v>41</v>
      </c>
      <c r="B15" t="s">
        <v>21</v>
      </c>
      <c r="C15" t="s">
        <v>21</v>
      </c>
      <c r="D15" t="s">
        <v>22</v>
      </c>
      <c r="E15" t="s">
        <v>23</v>
      </c>
      <c r="F15" t="s">
        <v>23</v>
      </c>
      <c r="G15" t="s">
        <v>23</v>
      </c>
      <c r="H15" t="s">
        <v>103</v>
      </c>
      <c r="I15" t="s">
        <v>104</v>
      </c>
      <c r="J15" t="s">
        <v>24</v>
      </c>
    </row>
    <row r="16" spans="1:15" x14ac:dyDescent="0.25">
      <c r="A16" t="s">
        <v>43</v>
      </c>
      <c r="B16" t="s">
        <v>21</v>
      </c>
      <c r="C16" t="s">
        <v>21</v>
      </c>
      <c r="D16" t="s">
        <v>22</v>
      </c>
      <c r="E16" t="s">
        <v>23</v>
      </c>
      <c r="F16" t="s">
        <v>23</v>
      </c>
      <c r="G16" t="s">
        <v>23</v>
      </c>
      <c r="H16" t="s">
        <v>105</v>
      </c>
      <c r="I16" t="s">
        <v>42</v>
      </c>
      <c r="J16" t="s">
        <v>24</v>
      </c>
    </row>
    <row r="17" spans="1:10" x14ac:dyDescent="0.25">
      <c r="A17" t="s">
        <v>44</v>
      </c>
      <c r="B17" t="s">
        <v>21</v>
      </c>
      <c r="C17" t="s">
        <v>21</v>
      </c>
      <c r="D17" t="s">
        <v>22</v>
      </c>
      <c r="E17" t="s">
        <v>23</v>
      </c>
      <c r="F17" t="s">
        <v>23</v>
      </c>
      <c r="G17" t="s">
        <v>23</v>
      </c>
      <c r="H17" t="s">
        <v>106</v>
      </c>
      <c r="I17" t="s">
        <v>107</v>
      </c>
      <c r="J17" t="s">
        <v>24</v>
      </c>
    </row>
    <row r="18" spans="1:10" x14ac:dyDescent="0.25">
      <c r="A18" t="s">
        <v>46</v>
      </c>
      <c r="B18" t="s">
        <v>21</v>
      </c>
      <c r="C18" t="s">
        <v>21</v>
      </c>
      <c r="D18" t="s">
        <v>22</v>
      </c>
      <c r="E18" t="s">
        <v>23</v>
      </c>
      <c r="F18" t="s">
        <v>23</v>
      </c>
      <c r="G18" t="s">
        <v>23</v>
      </c>
      <c r="H18" t="s">
        <v>108</v>
      </c>
      <c r="I18" t="s">
        <v>109</v>
      </c>
      <c r="J18" t="s">
        <v>24</v>
      </c>
    </row>
    <row r="19" spans="1:10" x14ac:dyDescent="0.25">
      <c r="A19" t="s">
        <v>47</v>
      </c>
      <c r="B19" t="s">
        <v>21</v>
      </c>
      <c r="C19" t="s">
        <v>21</v>
      </c>
      <c r="D19" t="s">
        <v>22</v>
      </c>
      <c r="E19" t="s">
        <v>23</v>
      </c>
      <c r="F19" t="s">
        <v>23</v>
      </c>
      <c r="G19" t="s">
        <v>23</v>
      </c>
      <c r="H19" t="s">
        <v>110</v>
      </c>
      <c r="I19" t="s">
        <v>111</v>
      </c>
      <c r="J19" t="s">
        <v>24</v>
      </c>
    </row>
    <row r="20" spans="1:10" x14ac:dyDescent="0.25">
      <c r="A20" t="s">
        <v>48</v>
      </c>
      <c r="B20" t="s">
        <v>21</v>
      </c>
      <c r="C20" t="s">
        <v>21</v>
      </c>
      <c r="D20" t="s">
        <v>22</v>
      </c>
      <c r="E20" t="s">
        <v>23</v>
      </c>
      <c r="F20" t="s">
        <v>23</v>
      </c>
      <c r="G20" t="s">
        <v>23</v>
      </c>
      <c r="H20" t="s">
        <v>104</v>
      </c>
      <c r="I20" t="s">
        <v>112</v>
      </c>
      <c r="J20" t="s">
        <v>24</v>
      </c>
    </row>
    <row r="21" spans="1:10" x14ac:dyDescent="0.25">
      <c r="A21" t="s">
        <v>49</v>
      </c>
      <c r="B21" t="s">
        <v>26</v>
      </c>
      <c r="C21" t="s">
        <v>26</v>
      </c>
      <c r="D21" t="s">
        <v>22</v>
      </c>
      <c r="E21" t="s">
        <v>23</v>
      </c>
      <c r="F21" t="s">
        <v>23</v>
      </c>
      <c r="G21" t="s">
        <v>23</v>
      </c>
      <c r="H21" t="s">
        <v>113</v>
      </c>
      <c r="I21" t="s">
        <v>114</v>
      </c>
      <c r="J21" t="s">
        <v>24</v>
      </c>
    </row>
    <row r="22" spans="1:10" x14ac:dyDescent="0.25">
      <c r="A22" t="s">
        <v>50</v>
      </c>
      <c r="B22" t="s">
        <v>26</v>
      </c>
      <c r="C22" t="s">
        <v>26</v>
      </c>
      <c r="D22" t="s">
        <v>22</v>
      </c>
      <c r="E22" t="s">
        <v>23</v>
      </c>
      <c r="F22" t="s">
        <v>23</v>
      </c>
      <c r="G22" t="s">
        <v>23</v>
      </c>
      <c r="H22" t="s">
        <v>115</v>
      </c>
      <c r="I22" t="s">
        <v>116</v>
      </c>
      <c r="J22" t="s">
        <v>24</v>
      </c>
    </row>
    <row r="23" spans="1:10" x14ac:dyDescent="0.25">
      <c r="A23" t="s">
        <v>51</v>
      </c>
      <c r="B23" t="s">
        <v>26</v>
      </c>
      <c r="C23" t="s">
        <v>26</v>
      </c>
      <c r="D23" t="s">
        <v>22</v>
      </c>
      <c r="E23" t="s">
        <v>23</v>
      </c>
      <c r="F23" t="s">
        <v>23</v>
      </c>
      <c r="G23" t="s">
        <v>23</v>
      </c>
      <c r="H23" t="s">
        <v>117</v>
      </c>
      <c r="I23" t="s">
        <v>60</v>
      </c>
      <c r="J23" t="s">
        <v>24</v>
      </c>
    </row>
    <row r="24" spans="1:10" x14ac:dyDescent="0.25">
      <c r="A24" t="s">
        <v>52</v>
      </c>
      <c r="B24" t="s">
        <v>26</v>
      </c>
      <c r="C24" t="s">
        <v>21</v>
      </c>
      <c r="D24" t="s">
        <v>22</v>
      </c>
      <c r="E24" t="s">
        <v>23</v>
      </c>
      <c r="F24" t="s">
        <v>23</v>
      </c>
      <c r="G24" t="s">
        <v>23</v>
      </c>
      <c r="H24" t="s">
        <v>118</v>
      </c>
      <c r="I24" t="s">
        <v>119</v>
      </c>
      <c r="J24" t="s">
        <v>24</v>
      </c>
    </row>
    <row r="25" spans="1:10" x14ac:dyDescent="0.25">
      <c r="A25" t="s">
        <v>53</v>
      </c>
      <c r="B25" t="s">
        <v>26</v>
      </c>
      <c r="C25" t="s">
        <v>26</v>
      </c>
      <c r="D25" t="s">
        <v>22</v>
      </c>
      <c r="E25" t="s">
        <v>23</v>
      </c>
      <c r="F25" t="s">
        <v>23</v>
      </c>
      <c r="G25" t="s">
        <v>23</v>
      </c>
      <c r="H25" t="s">
        <v>120</v>
      </c>
      <c r="I25" t="s">
        <v>121</v>
      </c>
      <c r="J25" t="s">
        <v>24</v>
      </c>
    </row>
    <row r="26" spans="1:10" x14ac:dyDescent="0.25">
      <c r="A26" t="s">
        <v>54</v>
      </c>
      <c r="B26" t="s">
        <v>26</v>
      </c>
      <c r="C26" t="s">
        <v>26</v>
      </c>
      <c r="D26" t="s">
        <v>22</v>
      </c>
      <c r="E26" t="s">
        <v>23</v>
      </c>
      <c r="F26" t="s">
        <v>23</v>
      </c>
      <c r="G26" t="s">
        <v>23</v>
      </c>
      <c r="H26" t="s">
        <v>122</v>
      </c>
      <c r="I26" t="s">
        <v>123</v>
      </c>
      <c r="J26" t="s">
        <v>24</v>
      </c>
    </row>
    <row r="27" spans="1:10" x14ac:dyDescent="0.25">
      <c r="A27" t="s">
        <v>56</v>
      </c>
      <c r="B27" t="s">
        <v>26</v>
      </c>
      <c r="C27" t="s">
        <v>26</v>
      </c>
      <c r="D27" t="s">
        <v>22</v>
      </c>
      <c r="E27" t="s">
        <v>23</v>
      </c>
      <c r="F27" t="s">
        <v>23</v>
      </c>
      <c r="G27" t="s">
        <v>23</v>
      </c>
      <c r="H27" t="s">
        <v>124</v>
      </c>
      <c r="I27" t="s">
        <v>125</v>
      </c>
      <c r="J27" t="s">
        <v>24</v>
      </c>
    </row>
    <row r="28" spans="1:10" x14ac:dyDescent="0.25">
      <c r="A28" t="s">
        <v>58</v>
      </c>
      <c r="B28" t="s">
        <v>26</v>
      </c>
      <c r="C28" t="s">
        <v>26</v>
      </c>
      <c r="D28" t="s">
        <v>22</v>
      </c>
      <c r="E28" t="s">
        <v>23</v>
      </c>
      <c r="F28" t="s">
        <v>23</v>
      </c>
      <c r="G28" t="s">
        <v>23</v>
      </c>
      <c r="H28" t="s">
        <v>126</v>
      </c>
      <c r="I28" t="s">
        <v>127</v>
      </c>
      <c r="J28" t="s">
        <v>24</v>
      </c>
    </row>
    <row r="29" spans="1:10" x14ac:dyDescent="0.25">
      <c r="A29" t="s">
        <v>59</v>
      </c>
      <c r="B29" t="s">
        <v>26</v>
      </c>
      <c r="C29" t="s">
        <v>26</v>
      </c>
      <c r="D29" t="s">
        <v>22</v>
      </c>
      <c r="E29" t="s">
        <v>23</v>
      </c>
      <c r="F29" t="s">
        <v>23</v>
      </c>
      <c r="G29" t="s">
        <v>23</v>
      </c>
      <c r="H29" t="s">
        <v>128</v>
      </c>
      <c r="I29" t="s">
        <v>67</v>
      </c>
      <c r="J29" t="s">
        <v>24</v>
      </c>
    </row>
    <row r="30" spans="1:10" x14ac:dyDescent="0.25">
      <c r="A30" t="s">
        <v>61</v>
      </c>
      <c r="B30" t="s">
        <v>26</v>
      </c>
      <c r="C30" t="s">
        <v>26</v>
      </c>
      <c r="D30" t="s">
        <v>22</v>
      </c>
      <c r="E30" t="s">
        <v>23</v>
      </c>
      <c r="F30" t="s">
        <v>23</v>
      </c>
      <c r="G30" t="s">
        <v>23</v>
      </c>
      <c r="H30" t="s">
        <v>129</v>
      </c>
      <c r="I30" t="s">
        <v>130</v>
      </c>
      <c r="J30" t="s">
        <v>24</v>
      </c>
    </row>
    <row r="31" spans="1:10" x14ac:dyDescent="0.25">
      <c r="A31" t="s">
        <v>62</v>
      </c>
      <c r="B31" t="s">
        <v>26</v>
      </c>
      <c r="C31" t="s">
        <v>26</v>
      </c>
      <c r="D31" t="s">
        <v>22</v>
      </c>
      <c r="E31" t="s">
        <v>23</v>
      </c>
      <c r="F31" t="s">
        <v>23</v>
      </c>
      <c r="G31" t="s">
        <v>23</v>
      </c>
      <c r="H31" t="s">
        <v>29</v>
      </c>
      <c r="I31" t="s">
        <v>131</v>
      </c>
      <c r="J31" t="s">
        <v>24</v>
      </c>
    </row>
    <row r="32" spans="1:10" x14ac:dyDescent="0.25">
      <c r="A32" t="s">
        <v>63</v>
      </c>
      <c r="B32" t="s">
        <v>26</v>
      </c>
      <c r="C32" t="s">
        <v>26</v>
      </c>
      <c r="D32" t="s">
        <v>22</v>
      </c>
      <c r="E32" t="s">
        <v>23</v>
      </c>
      <c r="F32" t="s">
        <v>23</v>
      </c>
      <c r="G32" t="s">
        <v>23</v>
      </c>
      <c r="H32" t="s">
        <v>132</v>
      </c>
      <c r="I32" t="s">
        <v>133</v>
      </c>
      <c r="J32" t="s">
        <v>24</v>
      </c>
    </row>
    <row r="33" spans="1:10" x14ac:dyDescent="0.25">
      <c r="A33" t="s">
        <v>64</v>
      </c>
      <c r="B33" t="s">
        <v>26</v>
      </c>
      <c r="C33" t="s">
        <v>26</v>
      </c>
      <c r="D33" t="s">
        <v>22</v>
      </c>
      <c r="E33" t="s">
        <v>23</v>
      </c>
      <c r="F33" t="s">
        <v>23</v>
      </c>
      <c r="G33" t="s">
        <v>23</v>
      </c>
      <c r="H33" t="s">
        <v>134</v>
      </c>
      <c r="I33" t="s">
        <v>135</v>
      </c>
      <c r="J33" t="s">
        <v>24</v>
      </c>
    </row>
    <row r="34" spans="1:10" x14ac:dyDescent="0.25">
      <c r="A34" t="s">
        <v>65</v>
      </c>
      <c r="B34" t="s">
        <v>26</v>
      </c>
      <c r="C34" t="s">
        <v>26</v>
      </c>
      <c r="D34" t="s">
        <v>22</v>
      </c>
      <c r="E34" t="s">
        <v>23</v>
      </c>
      <c r="F34" t="s">
        <v>23</v>
      </c>
      <c r="G34" t="s">
        <v>23</v>
      </c>
      <c r="H34" t="s">
        <v>136</v>
      </c>
      <c r="I34" t="s">
        <v>137</v>
      </c>
      <c r="J34" t="s">
        <v>24</v>
      </c>
    </row>
    <row r="35" spans="1:10" x14ac:dyDescent="0.25">
      <c r="A35" t="s">
        <v>66</v>
      </c>
      <c r="B35" t="s">
        <v>26</v>
      </c>
      <c r="C35" t="s">
        <v>26</v>
      </c>
      <c r="D35" t="s">
        <v>22</v>
      </c>
      <c r="E35" t="s">
        <v>23</v>
      </c>
      <c r="F35" t="s">
        <v>23</v>
      </c>
      <c r="G35" t="s">
        <v>23</v>
      </c>
      <c r="H35" t="s">
        <v>138</v>
      </c>
      <c r="I35" t="s">
        <v>139</v>
      </c>
      <c r="J35" t="s">
        <v>24</v>
      </c>
    </row>
    <row r="36" spans="1:10" x14ac:dyDescent="0.25">
      <c r="A36" t="s">
        <v>68</v>
      </c>
      <c r="B36" t="s">
        <v>26</v>
      </c>
      <c r="C36" t="s">
        <v>21</v>
      </c>
      <c r="D36" t="s">
        <v>22</v>
      </c>
      <c r="E36" t="s">
        <v>23</v>
      </c>
      <c r="F36" t="s">
        <v>23</v>
      </c>
      <c r="G36" t="s">
        <v>23</v>
      </c>
      <c r="H36" t="s">
        <v>140</v>
      </c>
      <c r="I36" t="s">
        <v>141</v>
      </c>
      <c r="J36" t="s">
        <v>24</v>
      </c>
    </row>
    <row r="37" spans="1:10" x14ac:dyDescent="0.25">
      <c r="A37" t="s">
        <v>69</v>
      </c>
      <c r="B37" t="s">
        <v>26</v>
      </c>
      <c r="C37" t="s">
        <v>26</v>
      </c>
      <c r="D37" t="s">
        <v>22</v>
      </c>
      <c r="E37" t="s">
        <v>23</v>
      </c>
      <c r="F37" t="s">
        <v>23</v>
      </c>
      <c r="G37" t="s">
        <v>23</v>
      </c>
      <c r="H37" t="s">
        <v>142</v>
      </c>
      <c r="I37" t="s">
        <v>143</v>
      </c>
      <c r="J37" t="s">
        <v>24</v>
      </c>
    </row>
    <row r="38" spans="1:10" x14ac:dyDescent="0.25">
      <c r="A38" t="s">
        <v>71</v>
      </c>
      <c r="B38" t="s">
        <v>26</v>
      </c>
      <c r="C38" t="s">
        <v>26</v>
      </c>
      <c r="D38" t="s">
        <v>22</v>
      </c>
      <c r="E38" t="s">
        <v>23</v>
      </c>
      <c r="F38" t="s">
        <v>23</v>
      </c>
      <c r="G38" t="s">
        <v>23</v>
      </c>
      <c r="H38" t="s">
        <v>144</v>
      </c>
      <c r="I38" t="s">
        <v>145</v>
      </c>
      <c r="J38" t="s">
        <v>24</v>
      </c>
    </row>
    <row r="39" spans="1:10" x14ac:dyDescent="0.25">
      <c r="A39" t="s">
        <v>72</v>
      </c>
      <c r="B39" t="s">
        <v>26</v>
      </c>
      <c r="C39" t="s">
        <v>26</v>
      </c>
      <c r="D39" t="s">
        <v>22</v>
      </c>
      <c r="E39" t="s">
        <v>23</v>
      </c>
      <c r="F39" t="s">
        <v>23</v>
      </c>
      <c r="G39" t="s">
        <v>23</v>
      </c>
      <c r="H39" t="s">
        <v>146</v>
      </c>
      <c r="I39" t="s">
        <v>147</v>
      </c>
      <c r="J39" t="s">
        <v>24</v>
      </c>
    </row>
    <row r="40" spans="1:10" x14ac:dyDescent="0.25">
      <c r="A40" t="s">
        <v>73</v>
      </c>
      <c r="B40" t="s">
        <v>26</v>
      </c>
      <c r="C40" t="s">
        <v>26</v>
      </c>
      <c r="D40" t="s">
        <v>22</v>
      </c>
      <c r="E40" t="s">
        <v>23</v>
      </c>
      <c r="F40" t="s">
        <v>23</v>
      </c>
      <c r="G40" t="s">
        <v>23</v>
      </c>
      <c r="H40" t="s">
        <v>148</v>
      </c>
      <c r="I40" t="s">
        <v>149</v>
      </c>
      <c r="J40" t="s">
        <v>24</v>
      </c>
    </row>
    <row r="41" spans="1:10" x14ac:dyDescent="0.25">
      <c r="A41" t="s">
        <v>74</v>
      </c>
      <c r="B41" t="s">
        <v>26</v>
      </c>
      <c r="C41" t="s">
        <v>26</v>
      </c>
      <c r="D41" t="s">
        <v>22</v>
      </c>
      <c r="E41" t="s">
        <v>23</v>
      </c>
      <c r="F41" t="s">
        <v>23</v>
      </c>
      <c r="G41" t="s">
        <v>23</v>
      </c>
      <c r="H41" t="s">
        <v>150</v>
      </c>
      <c r="I41" t="s">
        <v>151</v>
      </c>
      <c r="J41" t="s">
        <v>24</v>
      </c>
    </row>
    <row r="42" spans="1:10" x14ac:dyDescent="0.25">
      <c r="A42" t="s">
        <v>75</v>
      </c>
      <c r="B42" t="s">
        <v>26</v>
      </c>
      <c r="C42" t="s">
        <v>26</v>
      </c>
      <c r="D42" t="s">
        <v>22</v>
      </c>
      <c r="E42" t="s">
        <v>23</v>
      </c>
      <c r="F42" t="s">
        <v>23</v>
      </c>
      <c r="G42" t="s">
        <v>23</v>
      </c>
      <c r="H42" t="s">
        <v>152</v>
      </c>
      <c r="I42" t="s">
        <v>153</v>
      </c>
      <c r="J42" t="s">
        <v>24</v>
      </c>
    </row>
    <row r="43" spans="1:10" x14ac:dyDescent="0.25">
      <c r="A43" t="s">
        <v>76</v>
      </c>
      <c r="B43" t="s">
        <v>26</v>
      </c>
      <c r="C43" t="s">
        <v>26</v>
      </c>
      <c r="D43" t="s">
        <v>22</v>
      </c>
      <c r="E43" t="s">
        <v>23</v>
      </c>
      <c r="F43" t="s">
        <v>23</v>
      </c>
      <c r="G43" t="s">
        <v>23</v>
      </c>
      <c r="H43" t="s">
        <v>154</v>
      </c>
      <c r="I43" t="s">
        <v>155</v>
      </c>
      <c r="J43" t="s">
        <v>24</v>
      </c>
    </row>
    <row r="44" spans="1:10" x14ac:dyDescent="0.25">
      <c r="A44" t="s">
        <v>78</v>
      </c>
      <c r="B44" t="s">
        <v>26</v>
      </c>
      <c r="C44" t="s">
        <v>26</v>
      </c>
      <c r="D44" t="s">
        <v>22</v>
      </c>
      <c r="E44" t="s">
        <v>23</v>
      </c>
      <c r="F44" t="s">
        <v>23</v>
      </c>
      <c r="G44" t="s">
        <v>23</v>
      </c>
      <c r="H44" t="s">
        <v>156</v>
      </c>
      <c r="I44" t="s">
        <v>157</v>
      </c>
      <c r="J44" t="s">
        <v>24</v>
      </c>
    </row>
    <row r="45" spans="1:10" x14ac:dyDescent="0.25">
      <c r="A45" t="s">
        <v>80</v>
      </c>
      <c r="B45" t="s">
        <v>26</v>
      </c>
      <c r="C45" t="s">
        <v>26</v>
      </c>
      <c r="D45" t="s">
        <v>22</v>
      </c>
      <c r="E45" t="s">
        <v>23</v>
      </c>
      <c r="F45" t="s">
        <v>23</v>
      </c>
      <c r="G45" t="s">
        <v>23</v>
      </c>
      <c r="H45" t="s">
        <v>158</v>
      </c>
      <c r="I45" t="s">
        <v>159</v>
      </c>
      <c r="J45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E24" sqref="E24"/>
    </sheetView>
  </sheetViews>
  <sheetFormatPr defaultRowHeight="15" x14ac:dyDescent="0.25"/>
  <cols>
    <col min="3" max="3" width="16.140625" customWidth="1"/>
    <col min="5" max="5" width="17" customWidth="1"/>
    <col min="6" max="6" width="9.140625" customWidth="1"/>
  </cols>
  <sheetData>
    <row r="1" spans="1:12" x14ac:dyDescent="0.25">
      <c r="A1" s="1" t="s">
        <v>238</v>
      </c>
      <c r="C1" s="2" t="s">
        <v>172</v>
      </c>
      <c r="D1" s="2"/>
      <c r="E1" s="2" t="s">
        <v>13</v>
      </c>
      <c r="F1" s="2"/>
      <c r="G1" s="2" t="s">
        <v>173</v>
      </c>
      <c r="H1" s="2"/>
      <c r="I1" s="2" t="s">
        <v>175</v>
      </c>
      <c r="J1" s="2"/>
      <c r="K1" s="2" t="s">
        <v>174</v>
      </c>
      <c r="L1" s="2"/>
    </row>
    <row r="2" spans="1:12" x14ac:dyDescent="0.25">
      <c r="B2" s="1"/>
      <c r="C2" s="1" t="s">
        <v>21</v>
      </c>
      <c r="D2" s="1" t="s">
        <v>26</v>
      </c>
      <c r="E2" s="1" t="s">
        <v>21</v>
      </c>
      <c r="F2" s="1" t="s">
        <v>26</v>
      </c>
      <c r="G2" s="1" t="s">
        <v>21</v>
      </c>
      <c r="H2" s="1" t="s">
        <v>26</v>
      </c>
      <c r="I2" s="1" t="s">
        <v>21</v>
      </c>
      <c r="J2" s="1" t="s">
        <v>26</v>
      </c>
      <c r="K2" s="1" t="s">
        <v>21</v>
      </c>
      <c r="L2" s="1" t="s">
        <v>26</v>
      </c>
    </row>
    <row r="3" spans="1:12" x14ac:dyDescent="0.25">
      <c r="B3" s="1" t="s">
        <v>169</v>
      </c>
      <c r="C3">
        <v>44</v>
      </c>
      <c r="D3">
        <v>43</v>
      </c>
      <c r="E3">
        <v>44</v>
      </c>
      <c r="F3">
        <v>39</v>
      </c>
      <c r="G3">
        <v>43</v>
      </c>
      <c r="H3">
        <v>43</v>
      </c>
      <c r="I3">
        <v>42</v>
      </c>
      <c r="J3">
        <v>43</v>
      </c>
      <c r="K3">
        <v>44</v>
      </c>
      <c r="L3">
        <v>40</v>
      </c>
    </row>
    <row r="4" spans="1:12" x14ac:dyDescent="0.25">
      <c r="B4" s="1" t="s">
        <v>170</v>
      </c>
      <c r="C4">
        <v>44</v>
      </c>
      <c r="D4">
        <v>49</v>
      </c>
      <c r="E4">
        <v>44</v>
      </c>
      <c r="F4">
        <v>49</v>
      </c>
      <c r="G4">
        <v>44</v>
      </c>
      <c r="H4">
        <v>49</v>
      </c>
      <c r="I4">
        <v>45</v>
      </c>
      <c r="J4">
        <v>49</v>
      </c>
      <c r="K4">
        <v>44</v>
      </c>
      <c r="L4">
        <v>49</v>
      </c>
    </row>
    <row r="5" spans="1:12" x14ac:dyDescent="0.25">
      <c r="B5" s="1" t="s">
        <v>171</v>
      </c>
      <c r="C5">
        <v>100</v>
      </c>
      <c r="D5">
        <v>87.755102040816325</v>
      </c>
      <c r="E5">
        <v>100</v>
      </c>
      <c r="F5">
        <v>79.591836734693871</v>
      </c>
      <c r="G5">
        <v>97.727272727272734</v>
      </c>
      <c r="H5">
        <v>87.755102040816325</v>
      </c>
      <c r="I5">
        <v>93.333333333333329</v>
      </c>
      <c r="J5">
        <v>87.755102040816325</v>
      </c>
      <c r="K5">
        <v>100</v>
      </c>
      <c r="L5">
        <v>86.632653061224502</v>
      </c>
    </row>
    <row r="9" spans="1:12" x14ac:dyDescent="0.25">
      <c r="A9" s="1" t="s">
        <v>278</v>
      </c>
      <c r="C9" s="2" t="s">
        <v>172</v>
      </c>
      <c r="D9" s="2"/>
      <c r="E9" s="2" t="s">
        <v>13</v>
      </c>
      <c r="F9" s="2"/>
      <c r="G9" s="2" t="s">
        <v>173</v>
      </c>
      <c r="H9" s="2"/>
      <c r="I9" s="2" t="s">
        <v>175</v>
      </c>
      <c r="J9" s="2"/>
      <c r="K9" s="2" t="s">
        <v>174</v>
      </c>
      <c r="L9" s="2"/>
    </row>
    <row r="10" spans="1:12" x14ac:dyDescent="0.25">
      <c r="B10" s="1"/>
      <c r="C10" s="1" t="s">
        <v>21</v>
      </c>
      <c r="D10" s="1" t="s">
        <v>26</v>
      </c>
      <c r="E10" s="1" t="s">
        <v>21</v>
      </c>
      <c r="F10" s="1" t="s">
        <v>26</v>
      </c>
      <c r="G10" s="1" t="s">
        <v>21</v>
      </c>
      <c r="H10" s="1" t="s">
        <v>26</v>
      </c>
      <c r="I10" s="1" t="s">
        <v>21</v>
      </c>
      <c r="J10" s="1" t="s">
        <v>26</v>
      </c>
      <c r="K10" s="1" t="s">
        <v>21</v>
      </c>
      <c r="L10" s="1" t="s">
        <v>26</v>
      </c>
    </row>
    <row r="11" spans="1:12" x14ac:dyDescent="0.25">
      <c r="B11" s="1" t="s">
        <v>169</v>
      </c>
      <c r="C11">
        <v>38</v>
      </c>
      <c r="D11">
        <v>36</v>
      </c>
      <c r="E11">
        <v>36</v>
      </c>
      <c r="F11">
        <v>33</v>
      </c>
      <c r="G11">
        <v>38</v>
      </c>
      <c r="H11">
        <v>36</v>
      </c>
      <c r="I11">
        <v>32</v>
      </c>
      <c r="J11">
        <v>36</v>
      </c>
      <c r="K11">
        <v>38</v>
      </c>
      <c r="L11">
        <v>36</v>
      </c>
    </row>
    <row r="12" spans="1:12" x14ac:dyDescent="0.25">
      <c r="B12" s="1" t="s">
        <v>170</v>
      </c>
      <c r="C12">
        <v>42</v>
      </c>
      <c r="D12">
        <v>40</v>
      </c>
      <c r="E12">
        <v>41</v>
      </c>
      <c r="F12">
        <v>40</v>
      </c>
      <c r="G12">
        <v>42</v>
      </c>
      <c r="H12">
        <v>40</v>
      </c>
      <c r="I12">
        <v>41</v>
      </c>
      <c r="J12">
        <v>40</v>
      </c>
      <c r="K12">
        <v>41</v>
      </c>
      <c r="L12">
        <v>40</v>
      </c>
    </row>
    <row r="13" spans="1:12" x14ac:dyDescent="0.25">
      <c r="B13" s="1" t="s">
        <v>171</v>
      </c>
      <c r="C13">
        <v>90.476190476190482</v>
      </c>
      <c r="D13">
        <v>90</v>
      </c>
      <c r="E13">
        <v>87.804878048780495</v>
      </c>
      <c r="F13">
        <v>82.5</v>
      </c>
      <c r="G13">
        <v>90.476190476190482</v>
      </c>
      <c r="H13">
        <v>90</v>
      </c>
      <c r="I13">
        <v>78.048780487804876</v>
      </c>
      <c r="J13">
        <v>90</v>
      </c>
      <c r="K13">
        <v>92.682926829268297</v>
      </c>
      <c r="L13">
        <v>90</v>
      </c>
    </row>
    <row r="28" spans="3:7" x14ac:dyDescent="0.25">
      <c r="D28" s="2" t="s">
        <v>370</v>
      </c>
      <c r="E28" s="2"/>
      <c r="F28" s="2" t="s">
        <v>369</v>
      </c>
      <c r="G28" s="2"/>
    </row>
    <row r="29" spans="3:7" x14ac:dyDescent="0.25">
      <c r="C29" t="s">
        <v>176</v>
      </c>
      <c r="D29" t="s">
        <v>177</v>
      </c>
      <c r="E29" t="s">
        <v>178</v>
      </c>
      <c r="F29" t="s">
        <v>177</v>
      </c>
      <c r="G29" t="s">
        <v>178</v>
      </c>
    </row>
    <row r="30" spans="3:7" x14ac:dyDescent="0.25">
      <c r="C30" t="s">
        <v>179</v>
      </c>
      <c r="D30">
        <v>100</v>
      </c>
      <c r="E30">
        <v>87.755102040816325</v>
      </c>
      <c r="F30">
        <v>90.476190476190482</v>
      </c>
      <c r="G30">
        <v>90</v>
      </c>
    </row>
    <row r="31" spans="3:7" x14ac:dyDescent="0.25">
      <c r="C31" t="s">
        <v>13</v>
      </c>
      <c r="D31">
        <v>100</v>
      </c>
      <c r="E31">
        <v>79.591836734693871</v>
      </c>
      <c r="F31">
        <v>87.804878048780495</v>
      </c>
      <c r="G31">
        <v>82.5</v>
      </c>
    </row>
    <row r="32" spans="3:7" x14ac:dyDescent="0.25">
      <c r="C32" t="s">
        <v>180</v>
      </c>
      <c r="D32">
        <v>97.727272727272734</v>
      </c>
      <c r="E32">
        <v>87.755102040816325</v>
      </c>
      <c r="F32">
        <v>90.476190476190482</v>
      </c>
      <c r="G32">
        <v>90</v>
      </c>
    </row>
    <row r="33" spans="3:7" x14ac:dyDescent="0.25">
      <c r="C33" t="s">
        <v>181</v>
      </c>
      <c r="D33">
        <v>93.333333333333329</v>
      </c>
      <c r="E33">
        <v>87.755102040816325</v>
      </c>
      <c r="F33">
        <v>78.048780487804876</v>
      </c>
      <c r="G33">
        <v>90</v>
      </c>
    </row>
    <row r="34" spans="3:7" x14ac:dyDescent="0.25">
      <c r="C34" t="s">
        <v>182</v>
      </c>
      <c r="D34">
        <v>100</v>
      </c>
      <c r="E34">
        <v>86.632653061224502</v>
      </c>
      <c r="F34">
        <v>92.682926829268297</v>
      </c>
      <c r="G34">
        <v>90</v>
      </c>
    </row>
  </sheetData>
  <mergeCells count="12">
    <mergeCell ref="D28:E28"/>
    <mergeCell ref="F28:G28"/>
    <mergeCell ref="C9:D9"/>
    <mergeCell ref="E9:F9"/>
    <mergeCell ref="G9:H9"/>
    <mergeCell ref="I9:J9"/>
    <mergeCell ref="K9:L9"/>
    <mergeCell ref="C1:D1"/>
    <mergeCell ref="E1:F1"/>
    <mergeCell ref="G1:H1"/>
    <mergeCell ref="K1:L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173A-E341-4617-8801-99D541DADA45}">
  <dimension ref="A1:O83"/>
  <sheetViews>
    <sheetView workbookViewId="0">
      <selection activeCell="N2" sqref="N2:O4"/>
    </sheetView>
  </sheetViews>
  <sheetFormatPr defaultRowHeight="15" x14ac:dyDescent="0.25"/>
  <sheetData>
    <row r="1" spans="1:1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M1" s="1"/>
      <c r="N1" s="1" t="s">
        <v>21</v>
      </c>
      <c r="O1" s="1" t="s">
        <v>26</v>
      </c>
    </row>
    <row r="2" spans="1:15" x14ac:dyDescent="0.25">
      <c r="A2" t="s">
        <v>20</v>
      </c>
      <c r="B2" t="s">
        <v>21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291</v>
      </c>
      <c r="I2" t="s">
        <v>269</v>
      </c>
      <c r="J2" t="s">
        <v>24</v>
      </c>
      <c r="M2" s="1" t="s">
        <v>169</v>
      </c>
      <c r="N2">
        <f>COUNTIFS(B:B, "CLOSED", C:C, "CLOSED")</f>
        <v>38</v>
      </c>
      <c r="O2">
        <f>COUNTIFS(B:B, "OPEN", C:C, "OPEN")</f>
        <v>36</v>
      </c>
    </row>
    <row r="3" spans="1:15" x14ac:dyDescent="0.25">
      <c r="A3" t="s">
        <v>25</v>
      </c>
      <c r="B3" t="s">
        <v>21</v>
      </c>
      <c r="C3" t="s">
        <v>21</v>
      </c>
      <c r="D3" t="s">
        <v>23</v>
      </c>
      <c r="E3" t="s">
        <v>23</v>
      </c>
      <c r="F3" t="s">
        <v>23</v>
      </c>
      <c r="G3" t="s">
        <v>23</v>
      </c>
      <c r="H3" t="s">
        <v>292</v>
      </c>
      <c r="I3" t="s">
        <v>82</v>
      </c>
      <c r="J3" t="s">
        <v>24</v>
      </c>
      <c r="M3" s="1" t="s">
        <v>170</v>
      </c>
      <c r="N3">
        <f>COUNTIFS(B:B, "CLOSED")</f>
        <v>42</v>
      </c>
      <c r="O3">
        <f>COUNTIFS(B:B, "OPEN")</f>
        <v>40</v>
      </c>
    </row>
    <row r="4" spans="1:15" x14ac:dyDescent="0.25">
      <c r="A4" t="s">
        <v>27</v>
      </c>
      <c r="B4" t="s">
        <v>21</v>
      </c>
      <c r="C4" t="s">
        <v>21</v>
      </c>
      <c r="D4" t="s">
        <v>23</v>
      </c>
      <c r="E4" t="s">
        <v>23</v>
      </c>
      <c r="F4" t="s">
        <v>23</v>
      </c>
      <c r="G4" t="s">
        <v>23</v>
      </c>
      <c r="H4" t="s">
        <v>255</v>
      </c>
      <c r="I4" t="s">
        <v>293</v>
      </c>
      <c r="J4" t="s">
        <v>24</v>
      </c>
      <c r="M4" s="1" t="s">
        <v>171</v>
      </c>
      <c r="N4">
        <f>N2/N3*100</f>
        <v>90.476190476190482</v>
      </c>
      <c r="O4">
        <f>O2/O3*100</f>
        <v>90</v>
      </c>
    </row>
    <row r="5" spans="1:15" x14ac:dyDescent="0.25">
      <c r="A5" t="s">
        <v>28</v>
      </c>
      <c r="B5" t="s">
        <v>21</v>
      </c>
      <c r="C5" t="s">
        <v>21</v>
      </c>
      <c r="D5" t="s">
        <v>23</v>
      </c>
      <c r="E5" t="s">
        <v>23</v>
      </c>
      <c r="F5" t="s">
        <v>23</v>
      </c>
      <c r="G5" t="s">
        <v>23</v>
      </c>
      <c r="H5" t="s">
        <v>294</v>
      </c>
      <c r="I5" t="s">
        <v>163</v>
      </c>
      <c r="J5" t="s">
        <v>24</v>
      </c>
    </row>
    <row r="6" spans="1:15" x14ac:dyDescent="0.25">
      <c r="A6" t="s">
        <v>30</v>
      </c>
      <c r="B6" t="s">
        <v>21</v>
      </c>
      <c r="C6" t="s">
        <v>21</v>
      </c>
      <c r="D6" t="s">
        <v>23</v>
      </c>
      <c r="E6" t="s">
        <v>23</v>
      </c>
      <c r="F6" t="s">
        <v>23</v>
      </c>
      <c r="G6" t="s">
        <v>23</v>
      </c>
      <c r="H6" t="s">
        <v>200</v>
      </c>
      <c r="I6" t="s">
        <v>295</v>
      </c>
      <c r="J6" t="s">
        <v>24</v>
      </c>
    </row>
    <row r="7" spans="1:15" x14ac:dyDescent="0.25">
      <c r="A7" t="s">
        <v>31</v>
      </c>
      <c r="B7" t="s">
        <v>21</v>
      </c>
      <c r="C7" t="s">
        <v>21</v>
      </c>
      <c r="D7" t="s">
        <v>23</v>
      </c>
      <c r="E7" t="s">
        <v>23</v>
      </c>
      <c r="F7" t="s">
        <v>23</v>
      </c>
      <c r="G7" t="s">
        <v>23</v>
      </c>
      <c r="H7" t="s">
        <v>272</v>
      </c>
      <c r="I7" t="s">
        <v>296</v>
      </c>
      <c r="J7" t="s">
        <v>24</v>
      </c>
    </row>
    <row r="8" spans="1:15" x14ac:dyDescent="0.25">
      <c r="A8" t="s">
        <v>33</v>
      </c>
      <c r="B8" t="s">
        <v>21</v>
      </c>
      <c r="C8" t="s">
        <v>21</v>
      </c>
      <c r="D8" t="s">
        <v>23</v>
      </c>
      <c r="E8" t="s">
        <v>23</v>
      </c>
      <c r="F8" t="s">
        <v>23</v>
      </c>
      <c r="G8" t="s">
        <v>23</v>
      </c>
      <c r="H8" t="s">
        <v>297</v>
      </c>
      <c r="I8" t="s">
        <v>298</v>
      </c>
      <c r="J8" t="s">
        <v>24</v>
      </c>
    </row>
    <row r="9" spans="1:15" x14ac:dyDescent="0.25">
      <c r="A9" t="s">
        <v>34</v>
      </c>
      <c r="B9" t="s">
        <v>21</v>
      </c>
      <c r="C9" t="s">
        <v>21</v>
      </c>
      <c r="D9" t="s">
        <v>23</v>
      </c>
      <c r="E9" t="s">
        <v>23</v>
      </c>
      <c r="F9" t="s">
        <v>23</v>
      </c>
      <c r="G9" t="s">
        <v>23</v>
      </c>
      <c r="H9" t="s">
        <v>299</v>
      </c>
      <c r="I9" t="s">
        <v>300</v>
      </c>
      <c r="J9" t="s">
        <v>24</v>
      </c>
    </row>
    <row r="10" spans="1:15" x14ac:dyDescent="0.25">
      <c r="A10" t="s">
        <v>35</v>
      </c>
      <c r="B10" t="s">
        <v>21</v>
      </c>
      <c r="C10" t="s">
        <v>21</v>
      </c>
      <c r="D10" t="s">
        <v>23</v>
      </c>
      <c r="E10" t="s">
        <v>23</v>
      </c>
      <c r="F10" t="s">
        <v>23</v>
      </c>
      <c r="G10" t="s">
        <v>23</v>
      </c>
      <c r="H10" t="s">
        <v>161</v>
      </c>
      <c r="I10" t="s">
        <v>301</v>
      </c>
      <c r="J10" t="s">
        <v>24</v>
      </c>
    </row>
    <row r="11" spans="1:15" x14ac:dyDescent="0.25">
      <c r="A11" t="s">
        <v>37</v>
      </c>
      <c r="B11" t="s">
        <v>21</v>
      </c>
      <c r="C11" t="s">
        <v>21</v>
      </c>
      <c r="D11" t="s">
        <v>23</v>
      </c>
      <c r="E11" t="s">
        <v>23</v>
      </c>
      <c r="F11" t="s">
        <v>23</v>
      </c>
      <c r="G11" t="s">
        <v>23</v>
      </c>
      <c r="H11" t="s">
        <v>302</v>
      </c>
      <c r="I11" t="s">
        <v>282</v>
      </c>
      <c r="J11" t="s">
        <v>24</v>
      </c>
    </row>
    <row r="12" spans="1:15" x14ac:dyDescent="0.25">
      <c r="A12" t="s">
        <v>239</v>
      </c>
      <c r="B12" t="s">
        <v>21</v>
      </c>
      <c r="C12" t="s">
        <v>21</v>
      </c>
      <c r="D12" t="s">
        <v>23</v>
      </c>
      <c r="E12" t="s">
        <v>23</v>
      </c>
      <c r="F12" t="s">
        <v>23</v>
      </c>
      <c r="G12" t="s">
        <v>23</v>
      </c>
      <c r="H12" t="s">
        <v>95</v>
      </c>
      <c r="I12" t="s">
        <v>242</v>
      </c>
      <c r="J12" t="s">
        <v>24</v>
      </c>
    </row>
    <row r="13" spans="1:15" x14ac:dyDescent="0.25">
      <c r="A13" t="s">
        <v>39</v>
      </c>
      <c r="B13" t="s">
        <v>21</v>
      </c>
      <c r="C13" t="s">
        <v>21</v>
      </c>
      <c r="D13" t="s">
        <v>23</v>
      </c>
      <c r="E13" t="s">
        <v>23</v>
      </c>
      <c r="F13" t="s">
        <v>23</v>
      </c>
      <c r="G13" t="s">
        <v>23</v>
      </c>
      <c r="H13" t="s">
        <v>303</v>
      </c>
      <c r="I13" t="s">
        <v>304</v>
      </c>
      <c r="J13" t="s">
        <v>24</v>
      </c>
    </row>
    <row r="14" spans="1:15" x14ac:dyDescent="0.25">
      <c r="A14" t="s">
        <v>187</v>
      </c>
      <c r="B14" t="s">
        <v>21</v>
      </c>
      <c r="C14" t="s">
        <v>21</v>
      </c>
      <c r="D14" t="s">
        <v>23</v>
      </c>
      <c r="E14" t="s">
        <v>23</v>
      </c>
      <c r="F14" t="s">
        <v>23</v>
      </c>
      <c r="G14" t="s">
        <v>23</v>
      </c>
      <c r="H14" t="s">
        <v>248</v>
      </c>
      <c r="I14" t="s">
        <v>231</v>
      </c>
      <c r="J14" t="s">
        <v>24</v>
      </c>
    </row>
    <row r="15" spans="1:15" x14ac:dyDescent="0.25">
      <c r="A15" t="s">
        <v>188</v>
      </c>
      <c r="B15" t="s">
        <v>21</v>
      </c>
      <c r="C15" t="s">
        <v>21</v>
      </c>
      <c r="D15" t="s">
        <v>23</v>
      </c>
      <c r="E15" t="s">
        <v>23</v>
      </c>
      <c r="F15" t="s">
        <v>23</v>
      </c>
      <c r="G15" t="s">
        <v>23</v>
      </c>
      <c r="H15" t="s">
        <v>305</v>
      </c>
      <c r="I15" t="s">
        <v>306</v>
      </c>
      <c r="J15" t="s">
        <v>24</v>
      </c>
    </row>
    <row r="16" spans="1:15" x14ac:dyDescent="0.25">
      <c r="A16" t="s">
        <v>189</v>
      </c>
      <c r="B16" t="s">
        <v>21</v>
      </c>
      <c r="C16" t="s">
        <v>26</v>
      </c>
      <c r="D16" t="s">
        <v>23</v>
      </c>
      <c r="E16" t="s">
        <v>23</v>
      </c>
      <c r="F16" t="s">
        <v>23</v>
      </c>
      <c r="G16" t="s">
        <v>23</v>
      </c>
      <c r="H16" t="s">
        <v>307</v>
      </c>
      <c r="I16" t="s">
        <v>265</v>
      </c>
      <c r="J16" t="s">
        <v>24</v>
      </c>
    </row>
    <row r="17" spans="1:10" x14ac:dyDescent="0.25">
      <c r="A17" t="s">
        <v>190</v>
      </c>
      <c r="B17" t="s">
        <v>21</v>
      </c>
      <c r="C17" t="s">
        <v>26</v>
      </c>
      <c r="D17" t="s">
        <v>23</v>
      </c>
      <c r="E17" t="s">
        <v>23</v>
      </c>
      <c r="F17" t="s">
        <v>23</v>
      </c>
      <c r="G17" t="s">
        <v>23</v>
      </c>
      <c r="H17" t="s">
        <v>186</v>
      </c>
      <c r="I17" t="s">
        <v>70</v>
      </c>
      <c r="J17" t="s">
        <v>24</v>
      </c>
    </row>
    <row r="18" spans="1:10" x14ac:dyDescent="0.25">
      <c r="A18" t="s">
        <v>191</v>
      </c>
      <c r="B18" t="s">
        <v>21</v>
      </c>
      <c r="C18" t="s">
        <v>21</v>
      </c>
      <c r="D18" t="s">
        <v>23</v>
      </c>
      <c r="E18" t="s">
        <v>23</v>
      </c>
      <c r="F18" t="s">
        <v>23</v>
      </c>
      <c r="G18" t="s">
        <v>23</v>
      </c>
      <c r="H18" t="s">
        <v>308</v>
      </c>
      <c r="I18" t="s">
        <v>309</v>
      </c>
      <c r="J18" t="s">
        <v>24</v>
      </c>
    </row>
    <row r="19" spans="1:10" x14ac:dyDescent="0.25">
      <c r="A19" t="s">
        <v>192</v>
      </c>
      <c r="B19" t="s">
        <v>21</v>
      </c>
      <c r="C19" t="s">
        <v>21</v>
      </c>
      <c r="D19" t="s">
        <v>23</v>
      </c>
      <c r="E19" t="s">
        <v>23</v>
      </c>
      <c r="F19" t="s">
        <v>23</v>
      </c>
      <c r="G19" t="s">
        <v>23</v>
      </c>
      <c r="H19" t="s">
        <v>310</v>
      </c>
      <c r="I19" t="s">
        <v>311</v>
      </c>
      <c r="J19" t="s">
        <v>24</v>
      </c>
    </row>
    <row r="20" spans="1:10" x14ac:dyDescent="0.25">
      <c r="A20" t="s">
        <v>193</v>
      </c>
      <c r="B20" t="s">
        <v>21</v>
      </c>
      <c r="C20" t="s">
        <v>21</v>
      </c>
      <c r="D20" t="s">
        <v>23</v>
      </c>
      <c r="E20" t="s">
        <v>23</v>
      </c>
      <c r="F20" t="s">
        <v>23</v>
      </c>
      <c r="G20" t="s">
        <v>23</v>
      </c>
      <c r="H20" t="s">
        <v>264</v>
      </c>
      <c r="I20" t="s">
        <v>32</v>
      </c>
      <c r="J20" t="s">
        <v>24</v>
      </c>
    </row>
    <row r="21" spans="1:10" x14ac:dyDescent="0.25">
      <c r="A21" t="s">
        <v>194</v>
      </c>
      <c r="B21" t="s">
        <v>21</v>
      </c>
      <c r="C21" t="s">
        <v>21</v>
      </c>
      <c r="D21" t="s">
        <v>23</v>
      </c>
      <c r="E21" t="s">
        <v>23</v>
      </c>
      <c r="F21" t="s">
        <v>23</v>
      </c>
      <c r="G21" t="s">
        <v>23</v>
      </c>
      <c r="H21" t="s">
        <v>312</v>
      </c>
      <c r="I21" t="s">
        <v>263</v>
      </c>
      <c r="J21" t="s">
        <v>24</v>
      </c>
    </row>
    <row r="22" spans="1:10" x14ac:dyDescent="0.25">
      <c r="A22" t="s">
        <v>195</v>
      </c>
      <c r="B22" t="s">
        <v>21</v>
      </c>
      <c r="C22" t="s">
        <v>21</v>
      </c>
      <c r="D22" t="s">
        <v>23</v>
      </c>
      <c r="E22" t="s">
        <v>23</v>
      </c>
      <c r="F22" t="s">
        <v>23</v>
      </c>
      <c r="G22" t="s">
        <v>23</v>
      </c>
      <c r="H22" t="s">
        <v>165</v>
      </c>
      <c r="I22" t="s">
        <v>273</v>
      </c>
      <c r="J22" t="s">
        <v>24</v>
      </c>
    </row>
    <row r="23" spans="1:10" x14ac:dyDescent="0.25">
      <c r="A23" t="s">
        <v>196</v>
      </c>
      <c r="B23" t="s">
        <v>21</v>
      </c>
      <c r="C23" t="s">
        <v>21</v>
      </c>
      <c r="D23" t="s">
        <v>23</v>
      </c>
      <c r="E23" t="s">
        <v>23</v>
      </c>
      <c r="F23" t="s">
        <v>23</v>
      </c>
      <c r="G23" t="s">
        <v>23</v>
      </c>
      <c r="H23" t="s">
        <v>288</v>
      </c>
      <c r="I23" t="s">
        <v>45</v>
      </c>
      <c r="J23" t="s">
        <v>24</v>
      </c>
    </row>
    <row r="24" spans="1:10" x14ac:dyDescent="0.25">
      <c r="A24" t="s">
        <v>40</v>
      </c>
      <c r="B24" t="s">
        <v>21</v>
      </c>
      <c r="C24" t="s">
        <v>21</v>
      </c>
      <c r="D24" t="s">
        <v>23</v>
      </c>
      <c r="E24" t="s">
        <v>23</v>
      </c>
      <c r="F24" t="s">
        <v>23</v>
      </c>
      <c r="G24" t="s">
        <v>23</v>
      </c>
      <c r="H24" t="s">
        <v>262</v>
      </c>
      <c r="I24" t="s">
        <v>246</v>
      </c>
      <c r="J24" t="s">
        <v>24</v>
      </c>
    </row>
    <row r="25" spans="1:10" x14ac:dyDescent="0.25">
      <c r="A25" t="s">
        <v>197</v>
      </c>
      <c r="B25" t="s">
        <v>21</v>
      </c>
      <c r="C25" t="s">
        <v>21</v>
      </c>
      <c r="D25" t="s">
        <v>23</v>
      </c>
      <c r="E25" t="s">
        <v>23</v>
      </c>
      <c r="F25" t="s">
        <v>23</v>
      </c>
      <c r="G25" t="s">
        <v>23</v>
      </c>
      <c r="H25" t="s">
        <v>313</v>
      </c>
      <c r="I25" t="s">
        <v>279</v>
      </c>
      <c r="J25" t="s">
        <v>24</v>
      </c>
    </row>
    <row r="26" spans="1:10" x14ac:dyDescent="0.25">
      <c r="A26" t="s">
        <v>198</v>
      </c>
      <c r="B26" t="s">
        <v>21</v>
      </c>
      <c r="C26" t="s">
        <v>26</v>
      </c>
      <c r="D26" t="s">
        <v>23</v>
      </c>
      <c r="E26" t="s">
        <v>23</v>
      </c>
      <c r="F26" t="s">
        <v>23</v>
      </c>
      <c r="G26" t="s">
        <v>23</v>
      </c>
      <c r="H26" t="s">
        <v>314</v>
      </c>
      <c r="I26" t="s">
        <v>315</v>
      </c>
      <c r="J26" t="s">
        <v>24</v>
      </c>
    </row>
    <row r="27" spans="1:10" x14ac:dyDescent="0.25">
      <c r="A27" t="s">
        <v>199</v>
      </c>
      <c r="B27" t="s">
        <v>21</v>
      </c>
      <c r="C27" t="s">
        <v>21</v>
      </c>
      <c r="D27" t="s">
        <v>23</v>
      </c>
      <c r="E27" t="s">
        <v>23</v>
      </c>
      <c r="F27" t="s">
        <v>23</v>
      </c>
      <c r="G27" t="s">
        <v>23</v>
      </c>
      <c r="H27" t="s">
        <v>32</v>
      </c>
      <c r="I27" t="s">
        <v>316</v>
      </c>
      <c r="J27" t="s">
        <v>24</v>
      </c>
    </row>
    <row r="28" spans="1:10" x14ac:dyDescent="0.25">
      <c r="A28" t="s">
        <v>270</v>
      </c>
      <c r="B28" t="s">
        <v>21</v>
      </c>
      <c r="C28" t="s">
        <v>21</v>
      </c>
      <c r="D28" t="s">
        <v>23</v>
      </c>
      <c r="E28" t="s">
        <v>23</v>
      </c>
      <c r="F28" t="s">
        <v>23</v>
      </c>
      <c r="G28" t="s">
        <v>23</v>
      </c>
      <c r="H28" t="s">
        <v>317</v>
      </c>
      <c r="I28" t="s">
        <v>256</v>
      </c>
      <c r="J28" t="s">
        <v>24</v>
      </c>
    </row>
    <row r="29" spans="1:10" x14ac:dyDescent="0.25">
      <c r="A29" t="s">
        <v>201</v>
      </c>
      <c r="B29" t="s">
        <v>21</v>
      </c>
      <c r="C29" t="s">
        <v>21</v>
      </c>
      <c r="D29" t="s">
        <v>23</v>
      </c>
      <c r="E29" t="s">
        <v>23</v>
      </c>
      <c r="F29" t="s">
        <v>23</v>
      </c>
      <c r="G29" t="s">
        <v>23</v>
      </c>
      <c r="H29" t="s">
        <v>288</v>
      </c>
      <c r="I29" t="s">
        <v>211</v>
      </c>
      <c r="J29" t="s">
        <v>24</v>
      </c>
    </row>
    <row r="30" spans="1:10" x14ac:dyDescent="0.25">
      <c r="A30" t="s">
        <v>271</v>
      </c>
      <c r="B30" t="s">
        <v>21</v>
      </c>
      <c r="C30" t="s">
        <v>21</v>
      </c>
      <c r="D30" t="s">
        <v>23</v>
      </c>
      <c r="E30" t="s">
        <v>23</v>
      </c>
      <c r="F30" t="s">
        <v>23</v>
      </c>
      <c r="G30" t="s">
        <v>23</v>
      </c>
      <c r="H30" t="s">
        <v>243</v>
      </c>
      <c r="I30" t="s">
        <v>318</v>
      </c>
      <c r="J30" t="s">
        <v>24</v>
      </c>
    </row>
    <row r="31" spans="1:10" x14ac:dyDescent="0.25">
      <c r="A31" t="s">
        <v>202</v>
      </c>
      <c r="B31" t="s">
        <v>21</v>
      </c>
      <c r="C31" t="s">
        <v>21</v>
      </c>
      <c r="D31" t="s">
        <v>23</v>
      </c>
      <c r="E31" t="s">
        <v>23</v>
      </c>
      <c r="F31" t="s">
        <v>23</v>
      </c>
      <c r="G31" t="s">
        <v>23</v>
      </c>
      <c r="H31" t="s">
        <v>293</v>
      </c>
      <c r="I31" t="s">
        <v>164</v>
      </c>
      <c r="J31" t="s">
        <v>24</v>
      </c>
    </row>
    <row r="32" spans="1:10" x14ac:dyDescent="0.25">
      <c r="A32" t="s">
        <v>203</v>
      </c>
      <c r="B32" t="s">
        <v>21</v>
      </c>
      <c r="C32" t="s">
        <v>21</v>
      </c>
      <c r="D32" t="s">
        <v>23</v>
      </c>
      <c r="E32" t="s">
        <v>23</v>
      </c>
      <c r="F32" t="s">
        <v>23</v>
      </c>
      <c r="G32" t="s">
        <v>23</v>
      </c>
      <c r="H32" t="s">
        <v>319</v>
      </c>
      <c r="I32" t="s">
        <v>320</v>
      </c>
      <c r="J32" t="s">
        <v>24</v>
      </c>
    </row>
    <row r="33" spans="1:10" x14ac:dyDescent="0.25">
      <c r="A33" t="s">
        <v>204</v>
      </c>
      <c r="B33" t="s">
        <v>21</v>
      </c>
      <c r="C33" t="s">
        <v>21</v>
      </c>
      <c r="D33" t="s">
        <v>23</v>
      </c>
      <c r="E33" t="s">
        <v>23</v>
      </c>
      <c r="F33" t="s">
        <v>23</v>
      </c>
      <c r="G33" t="s">
        <v>23</v>
      </c>
      <c r="H33" t="s">
        <v>321</v>
      </c>
      <c r="I33" t="s">
        <v>247</v>
      </c>
      <c r="J33" t="s">
        <v>24</v>
      </c>
    </row>
    <row r="34" spans="1:10" x14ac:dyDescent="0.25">
      <c r="A34" t="s">
        <v>41</v>
      </c>
      <c r="B34" t="s">
        <v>21</v>
      </c>
      <c r="C34" t="s">
        <v>21</v>
      </c>
      <c r="D34" t="s">
        <v>23</v>
      </c>
      <c r="E34" t="s">
        <v>23</v>
      </c>
      <c r="F34" t="s">
        <v>23</v>
      </c>
      <c r="G34" t="s">
        <v>23</v>
      </c>
      <c r="H34" t="s">
        <v>36</v>
      </c>
      <c r="I34" t="s">
        <v>166</v>
      </c>
      <c r="J34" t="s">
        <v>24</v>
      </c>
    </row>
    <row r="35" spans="1:10" x14ac:dyDescent="0.25">
      <c r="A35" t="s">
        <v>205</v>
      </c>
      <c r="B35" t="s">
        <v>21</v>
      </c>
      <c r="C35" t="s">
        <v>21</v>
      </c>
      <c r="D35" t="s">
        <v>23</v>
      </c>
      <c r="E35" t="s">
        <v>23</v>
      </c>
      <c r="F35" t="s">
        <v>23</v>
      </c>
      <c r="G35" t="s">
        <v>23</v>
      </c>
      <c r="H35" t="s">
        <v>322</v>
      </c>
      <c r="I35" t="s">
        <v>283</v>
      </c>
      <c r="J35" t="s">
        <v>24</v>
      </c>
    </row>
    <row r="36" spans="1:10" x14ac:dyDescent="0.25">
      <c r="A36" t="s">
        <v>206</v>
      </c>
      <c r="B36" t="s">
        <v>21</v>
      </c>
      <c r="C36" t="s">
        <v>21</v>
      </c>
      <c r="D36" t="s">
        <v>23</v>
      </c>
      <c r="E36" t="s">
        <v>23</v>
      </c>
      <c r="F36" t="s">
        <v>23</v>
      </c>
      <c r="G36" t="s">
        <v>23</v>
      </c>
      <c r="H36" t="s">
        <v>323</v>
      </c>
      <c r="I36" t="s">
        <v>324</v>
      </c>
      <c r="J36" t="s">
        <v>24</v>
      </c>
    </row>
    <row r="37" spans="1:10" x14ac:dyDescent="0.25">
      <c r="A37" t="s">
        <v>207</v>
      </c>
      <c r="B37" t="s">
        <v>21</v>
      </c>
      <c r="C37" t="s">
        <v>21</v>
      </c>
      <c r="D37" t="s">
        <v>23</v>
      </c>
      <c r="E37" t="s">
        <v>23</v>
      </c>
      <c r="F37" t="s">
        <v>23</v>
      </c>
      <c r="G37" t="s">
        <v>23</v>
      </c>
      <c r="H37" t="s">
        <v>287</v>
      </c>
      <c r="I37" t="s">
        <v>57</v>
      </c>
      <c r="J37" t="s">
        <v>24</v>
      </c>
    </row>
    <row r="38" spans="1:10" x14ac:dyDescent="0.25">
      <c r="A38" t="s">
        <v>208</v>
      </c>
      <c r="B38" t="s">
        <v>21</v>
      </c>
      <c r="C38" t="s">
        <v>21</v>
      </c>
      <c r="D38" t="s">
        <v>23</v>
      </c>
      <c r="E38" t="s">
        <v>23</v>
      </c>
      <c r="F38" t="s">
        <v>23</v>
      </c>
      <c r="G38" t="s">
        <v>23</v>
      </c>
      <c r="H38" t="s">
        <v>323</v>
      </c>
      <c r="I38" t="s">
        <v>325</v>
      </c>
      <c r="J38" t="s">
        <v>24</v>
      </c>
    </row>
    <row r="39" spans="1:10" x14ac:dyDescent="0.25">
      <c r="A39" t="s">
        <v>209</v>
      </c>
      <c r="B39" t="s">
        <v>21</v>
      </c>
      <c r="C39" t="s">
        <v>21</v>
      </c>
      <c r="D39" t="s">
        <v>23</v>
      </c>
      <c r="E39" t="s">
        <v>23</v>
      </c>
      <c r="F39" t="s">
        <v>23</v>
      </c>
      <c r="G39" t="s">
        <v>23</v>
      </c>
      <c r="H39" t="s">
        <v>326</v>
      </c>
      <c r="I39" t="s">
        <v>327</v>
      </c>
      <c r="J39" t="s">
        <v>24</v>
      </c>
    </row>
    <row r="40" spans="1:10" x14ac:dyDescent="0.25">
      <c r="A40" t="s">
        <v>210</v>
      </c>
      <c r="B40" t="s">
        <v>21</v>
      </c>
      <c r="C40" t="s">
        <v>21</v>
      </c>
      <c r="D40" t="s">
        <v>23</v>
      </c>
      <c r="E40" t="s">
        <v>23</v>
      </c>
      <c r="F40" t="s">
        <v>23</v>
      </c>
      <c r="G40" t="s">
        <v>23</v>
      </c>
      <c r="H40" t="s">
        <v>328</v>
      </c>
      <c r="I40" t="s">
        <v>267</v>
      </c>
      <c r="J40" t="s">
        <v>24</v>
      </c>
    </row>
    <row r="41" spans="1:10" x14ac:dyDescent="0.25">
      <c r="A41" t="s">
        <v>212</v>
      </c>
      <c r="B41" t="s">
        <v>21</v>
      </c>
      <c r="C41" t="s">
        <v>21</v>
      </c>
      <c r="D41" t="s">
        <v>23</v>
      </c>
      <c r="E41" t="s">
        <v>23</v>
      </c>
      <c r="F41" t="s">
        <v>23</v>
      </c>
      <c r="G41" t="s">
        <v>23</v>
      </c>
      <c r="H41" t="s">
        <v>329</v>
      </c>
      <c r="I41" t="s">
        <v>330</v>
      </c>
      <c r="J41" t="s">
        <v>24</v>
      </c>
    </row>
    <row r="42" spans="1:10" x14ac:dyDescent="0.25">
      <c r="A42" t="s">
        <v>46</v>
      </c>
      <c r="B42" t="s">
        <v>21</v>
      </c>
      <c r="C42" t="s">
        <v>21</v>
      </c>
      <c r="D42" t="s">
        <v>23</v>
      </c>
      <c r="E42" t="s">
        <v>23</v>
      </c>
      <c r="F42" t="s">
        <v>23</v>
      </c>
      <c r="G42" t="s">
        <v>23</v>
      </c>
      <c r="H42" t="s">
        <v>289</v>
      </c>
      <c r="I42" t="s">
        <v>240</v>
      </c>
      <c r="J42" t="s">
        <v>24</v>
      </c>
    </row>
    <row r="43" spans="1:10" x14ac:dyDescent="0.25">
      <c r="A43" t="s">
        <v>48</v>
      </c>
      <c r="B43" t="s">
        <v>21</v>
      </c>
      <c r="C43" t="s">
        <v>26</v>
      </c>
      <c r="D43" t="s">
        <v>23</v>
      </c>
      <c r="E43" t="s">
        <v>23</v>
      </c>
      <c r="F43" t="s">
        <v>23</v>
      </c>
      <c r="G43" t="s">
        <v>23</v>
      </c>
      <c r="H43" t="s">
        <v>183</v>
      </c>
      <c r="I43" t="s">
        <v>331</v>
      </c>
      <c r="J43" t="s">
        <v>24</v>
      </c>
    </row>
    <row r="44" spans="1:10" x14ac:dyDescent="0.25">
      <c r="A44" t="s">
        <v>49</v>
      </c>
      <c r="B44" t="s">
        <v>26</v>
      </c>
      <c r="C44" t="s">
        <v>26</v>
      </c>
      <c r="D44" t="s">
        <v>23</v>
      </c>
      <c r="E44" t="s">
        <v>23</v>
      </c>
      <c r="F44" t="s">
        <v>23</v>
      </c>
      <c r="G44" t="s">
        <v>23</v>
      </c>
      <c r="H44" t="s">
        <v>280</v>
      </c>
      <c r="I44" t="s">
        <v>257</v>
      </c>
      <c r="J44" t="s">
        <v>24</v>
      </c>
    </row>
    <row r="45" spans="1:10" x14ac:dyDescent="0.25">
      <c r="A45" t="s">
        <v>51</v>
      </c>
      <c r="B45" t="s">
        <v>26</v>
      </c>
      <c r="C45" t="s">
        <v>26</v>
      </c>
      <c r="D45" t="s">
        <v>23</v>
      </c>
      <c r="E45" t="s">
        <v>23</v>
      </c>
      <c r="F45" t="s">
        <v>23</v>
      </c>
      <c r="G45" t="s">
        <v>23</v>
      </c>
      <c r="H45" t="s">
        <v>168</v>
      </c>
      <c r="I45" t="s">
        <v>332</v>
      </c>
      <c r="J45" t="s">
        <v>24</v>
      </c>
    </row>
    <row r="46" spans="1:10" x14ac:dyDescent="0.25">
      <c r="A46" t="s">
        <v>213</v>
      </c>
      <c r="B46" t="s">
        <v>26</v>
      </c>
      <c r="C46" t="s">
        <v>26</v>
      </c>
      <c r="D46" t="s">
        <v>23</v>
      </c>
      <c r="E46" t="s">
        <v>23</v>
      </c>
      <c r="F46" t="s">
        <v>23</v>
      </c>
      <c r="G46" t="s">
        <v>23</v>
      </c>
      <c r="H46" t="s">
        <v>77</v>
      </c>
      <c r="I46" t="s">
        <v>268</v>
      </c>
      <c r="J46" t="s">
        <v>24</v>
      </c>
    </row>
    <row r="47" spans="1:10" x14ac:dyDescent="0.25">
      <c r="A47" t="s">
        <v>52</v>
      </c>
      <c r="B47" t="s">
        <v>26</v>
      </c>
      <c r="C47" t="s">
        <v>26</v>
      </c>
      <c r="D47" t="s">
        <v>23</v>
      </c>
      <c r="E47" t="s">
        <v>23</v>
      </c>
      <c r="F47" t="s">
        <v>23</v>
      </c>
      <c r="G47" t="s">
        <v>23</v>
      </c>
      <c r="H47" t="s">
        <v>275</v>
      </c>
      <c r="I47" t="s">
        <v>333</v>
      </c>
      <c r="J47" t="s">
        <v>24</v>
      </c>
    </row>
    <row r="48" spans="1:10" x14ac:dyDescent="0.25">
      <c r="A48" t="s">
        <v>53</v>
      </c>
      <c r="B48" t="s">
        <v>26</v>
      </c>
      <c r="C48" t="s">
        <v>21</v>
      </c>
      <c r="D48" t="s">
        <v>23</v>
      </c>
      <c r="E48" t="s">
        <v>23</v>
      </c>
      <c r="F48" t="s">
        <v>23</v>
      </c>
      <c r="G48" t="s">
        <v>23</v>
      </c>
      <c r="H48" t="s">
        <v>130</v>
      </c>
      <c r="I48" t="s">
        <v>334</v>
      </c>
      <c r="J48" t="s">
        <v>24</v>
      </c>
    </row>
    <row r="49" spans="1:10" x14ac:dyDescent="0.25">
      <c r="A49" t="s">
        <v>54</v>
      </c>
      <c r="B49" t="s">
        <v>26</v>
      </c>
      <c r="C49" t="s">
        <v>26</v>
      </c>
      <c r="D49" t="s">
        <v>23</v>
      </c>
      <c r="E49" t="s">
        <v>23</v>
      </c>
      <c r="F49" t="s">
        <v>23</v>
      </c>
      <c r="G49" t="s">
        <v>23</v>
      </c>
      <c r="H49" t="s">
        <v>258</v>
      </c>
      <c r="I49" t="s">
        <v>162</v>
      </c>
      <c r="J49" t="s">
        <v>24</v>
      </c>
    </row>
    <row r="50" spans="1:10" x14ac:dyDescent="0.25">
      <c r="A50" t="s">
        <v>58</v>
      </c>
      <c r="B50" t="s">
        <v>26</v>
      </c>
      <c r="C50" t="s">
        <v>26</v>
      </c>
      <c r="D50" t="s">
        <v>23</v>
      </c>
      <c r="E50" t="s">
        <v>23</v>
      </c>
      <c r="F50" t="s">
        <v>23</v>
      </c>
      <c r="G50" t="s">
        <v>23</v>
      </c>
      <c r="H50" t="s">
        <v>252</v>
      </c>
      <c r="I50" t="s">
        <v>55</v>
      </c>
      <c r="J50" t="s">
        <v>24</v>
      </c>
    </row>
    <row r="51" spans="1:10" x14ac:dyDescent="0.25">
      <c r="A51" t="s">
        <v>59</v>
      </c>
      <c r="B51" t="s">
        <v>26</v>
      </c>
      <c r="C51" t="s">
        <v>26</v>
      </c>
      <c r="D51" t="s">
        <v>23</v>
      </c>
      <c r="E51" t="s">
        <v>23</v>
      </c>
      <c r="F51" t="s">
        <v>23</v>
      </c>
      <c r="G51" t="s">
        <v>23</v>
      </c>
      <c r="H51" t="s">
        <v>149</v>
      </c>
      <c r="I51" t="s">
        <v>166</v>
      </c>
      <c r="J51" t="s">
        <v>24</v>
      </c>
    </row>
    <row r="52" spans="1:10" x14ac:dyDescent="0.25">
      <c r="A52" t="s">
        <v>61</v>
      </c>
      <c r="B52" t="s">
        <v>26</v>
      </c>
      <c r="C52" t="s">
        <v>26</v>
      </c>
      <c r="D52" t="s">
        <v>23</v>
      </c>
      <c r="E52" t="s">
        <v>23</v>
      </c>
      <c r="F52" t="s">
        <v>23</v>
      </c>
      <c r="G52" t="s">
        <v>23</v>
      </c>
      <c r="H52" t="s">
        <v>160</v>
      </c>
      <c r="I52" t="s">
        <v>285</v>
      </c>
      <c r="J52" t="s">
        <v>24</v>
      </c>
    </row>
    <row r="53" spans="1:10" x14ac:dyDescent="0.25">
      <c r="A53" t="s">
        <v>62</v>
      </c>
      <c r="B53" t="s">
        <v>26</v>
      </c>
      <c r="C53" t="s">
        <v>26</v>
      </c>
      <c r="D53" t="s">
        <v>23</v>
      </c>
      <c r="E53" t="s">
        <v>23</v>
      </c>
      <c r="F53" t="s">
        <v>23</v>
      </c>
      <c r="G53" t="s">
        <v>23</v>
      </c>
      <c r="H53" t="s">
        <v>335</v>
      </c>
      <c r="I53" t="s">
        <v>336</v>
      </c>
      <c r="J53" t="s">
        <v>24</v>
      </c>
    </row>
    <row r="54" spans="1:10" x14ac:dyDescent="0.25">
      <c r="A54" t="s">
        <v>64</v>
      </c>
      <c r="B54" t="s">
        <v>26</v>
      </c>
      <c r="C54" t="s">
        <v>26</v>
      </c>
      <c r="D54" t="s">
        <v>23</v>
      </c>
      <c r="E54" t="s">
        <v>23</v>
      </c>
      <c r="F54" t="s">
        <v>23</v>
      </c>
      <c r="G54" t="s">
        <v>23</v>
      </c>
      <c r="H54" t="s">
        <v>259</v>
      </c>
      <c r="I54" t="s">
        <v>337</v>
      </c>
      <c r="J54" t="s">
        <v>24</v>
      </c>
    </row>
    <row r="55" spans="1:10" x14ac:dyDescent="0.25">
      <c r="A55" t="s">
        <v>65</v>
      </c>
      <c r="B55" t="s">
        <v>26</v>
      </c>
      <c r="C55" t="s">
        <v>26</v>
      </c>
      <c r="D55" t="s">
        <v>23</v>
      </c>
      <c r="E55" t="s">
        <v>23</v>
      </c>
      <c r="F55" t="s">
        <v>23</v>
      </c>
      <c r="G55" t="s">
        <v>23</v>
      </c>
      <c r="H55" t="s">
        <v>338</v>
      </c>
      <c r="I55" t="s">
        <v>339</v>
      </c>
      <c r="J55" t="s">
        <v>24</v>
      </c>
    </row>
    <row r="56" spans="1:10" x14ac:dyDescent="0.25">
      <c r="A56" t="s">
        <v>66</v>
      </c>
      <c r="B56" t="s">
        <v>26</v>
      </c>
      <c r="C56" t="s">
        <v>26</v>
      </c>
      <c r="D56" t="s">
        <v>23</v>
      </c>
      <c r="E56" t="s">
        <v>23</v>
      </c>
      <c r="F56" t="s">
        <v>23</v>
      </c>
      <c r="G56" t="s">
        <v>23</v>
      </c>
      <c r="H56" t="s">
        <v>340</v>
      </c>
      <c r="I56" t="s">
        <v>341</v>
      </c>
      <c r="J56" t="s">
        <v>24</v>
      </c>
    </row>
    <row r="57" spans="1:10" x14ac:dyDescent="0.25">
      <c r="A57" t="s">
        <v>68</v>
      </c>
      <c r="B57" t="s">
        <v>26</v>
      </c>
      <c r="C57" t="s">
        <v>26</v>
      </c>
      <c r="D57" t="s">
        <v>23</v>
      </c>
      <c r="E57" t="s">
        <v>23</v>
      </c>
      <c r="F57" t="s">
        <v>23</v>
      </c>
      <c r="G57" t="s">
        <v>23</v>
      </c>
      <c r="H57" t="s">
        <v>342</v>
      </c>
      <c r="I57" t="s">
        <v>343</v>
      </c>
      <c r="J57" t="s">
        <v>24</v>
      </c>
    </row>
    <row r="58" spans="1:10" x14ac:dyDescent="0.25">
      <c r="A58" t="s">
        <v>69</v>
      </c>
      <c r="B58" t="s">
        <v>26</v>
      </c>
      <c r="C58" t="s">
        <v>26</v>
      </c>
      <c r="D58" t="s">
        <v>23</v>
      </c>
      <c r="E58" t="s">
        <v>23</v>
      </c>
      <c r="F58" t="s">
        <v>23</v>
      </c>
      <c r="G58" t="s">
        <v>23</v>
      </c>
      <c r="H58" t="s">
        <v>253</v>
      </c>
      <c r="I58" t="s">
        <v>249</v>
      </c>
      <c r="J58" t="s">
        <v>24</v>
      </c>
    </row>
    <row r="59" spans="1:10" x14ac:dyDescent="0.25">
      <c r="A59" t="s">
        <v>71</v>
      </c>
      <c r="B59" t="s">
        <v>26</v>
      </c>
      <c r="C59" t="s">
        <v>26</v>
      </c>
      <c r="D59" t="s">
        <v>23</v>
      </c>
      <c r="E59" t="s">
        <v>23</v>
      </c>
      <c r="F59" t="s">
        <v>23</v>
      </c>
      <c r="G59" t="s">
        <v>23</v>
      </c>
      <c r="H59" t="s">
        <v>344</v>
      </c>
      <c r="I59" t="s">
        <v>166</v>
      </c>
      <c r="J59" t="s">
        <v>24</v>
      </c>
    </row>
    <row r="60" spans="1:10" x14ac:dyDescent="0.25">
      <c r="A60" t="s">
        <v>215</v>
      </c>
      <c r="B60" t="s">
        <v>26</v>
      </c>
      <c r="C60" t="s">
        <v>26</v>
      </c>
      <c r="D60" t="s">
        <v>23</v>
      </c>
      <c r="E60" t="s">
        <v>23</v>
      </c>
      <c r="F60" t="s">
        <v>23</v>
      </c>
      <c r="G60" t="s">
        <v>23</v>
      </c>
      <c r="H60" t="s">
        <v>266</v>
      </c>
      <c r="I60" t="s">
        <v>152</v>
      </c>
      <c r="J60" t="s">
        <v>24</v>
      </c>
    </row>
    <row r="61" spans="1:10" x14ac:dyDescent="0.25">
      <c r="A61" t="s">
        <v>216</v>
      </c>
      <c r="B61" t="s">
        <v>26</v>
      </c>
      <c r="C61" t="s">
        <v>26</v>
      </c>
      <c r="D61" t="s">
        <v>23</v>
      </c>
      <c r="E61" t="s">
        <v>23</v>
      </c>
      <c r="F61" t="s">
        <v>23</v>
      </c>
      <c r="G61" t="s">
        <v>23</v>
      </c>
      <c r="H61" t="s">
        <v>345</v>
      </c>
      <c r="I61" t="s">
        <v>346</v>
      </c>
      <c r="J61" t="s">
        <v>24</v>
      </c>
    </row>
    <row r="62" spans="1:10" x14ac:dyDescent="0.25">
      <c r="A62" t="s">
        <v>217</v>
      </c>
      <c r="B62" t="s">
        <v>26</v>
      </c>
      <c r="C62" t="s">
        <v>26</v>
      </c>
      <c r="D62" t="s">
        <v>23</v>
      </c>
      <c r="E62" t="s">
        <v>23</v>
      </c>
      <c r="F62" t="s">
        <v>23</v>
      </c>
      <c r="G62" t="s">
        <v>23</v>
      </c>
      <c r="H62" t="s">
        <v>244</v>
      </c>
      <c r="I62" t="s">
        <v>250</v>
      </c>
      <c r="J62" t="s">
        <v>24</v>
      </c>
    </row>
    <row r="63" spans="1:10" x14ac:dyDescent="0.25">
      <c r="A63" t="s">
        <v>218</v>
      </c>
      <c r="B63" t="s">
        <v>26</v>
      </c>
      <c r="C63" t="s">
        <v>26</v>
      </c>
      <c r="D63" t="s">
        <v>23</v>
      </c>
      <c r="E63" t="s">
        <v>23</v>
      </c>
      <c r="F63" t="s">
        <v>23</v>
      </c>
      <c r="G63" t="s">
        <v>23</v>
      </c>
      <c r="H63" t="s">
        <v>245</v>
      </c>
      <c r="I63" t="s">
        <v>281</v>
      </c>
      <c r="J63" t="s">
        <v>24</v>
      </c>
    </row>
    <row r="64" spans="1:10" x14ac:dyDescent="0.25">
      <c r="A64" t="s">
        <v>219</v>
      </c>
      <c r="B64" t="s">
        <v>26</v>
      </c>
      <c r="C64" t="s">
        <v>26</v>
      </c>
      <c r="D64" t="s">
        <v>23</v>
      </c>
      <c r="E64" t="s">
        <v>23</v>
      </c>
      <c r="F64" t="s">
        <v>23</v>
      </c>
      <c r="G64" t="s">
        <v>23</v>
      </c>
      <c r="H64" t="s">
        <v>347</v>
      </c>
      <c r="I64" t="s">
        <v>261</v>
      </c>
      <c r="J64" t="s">
        <v>24</v>
      </c>
    </row>
    <row r="65" spans="1:10" x14ac:dyDescent="0.25">
      <c r="A65" t="s">
        <v>220</v>
      </c>
      <c r="B65" t="s">
        <v>26</v>
      </c>
      <c r="C65" t="s">
        <v>26</v>
      </c>
      <c r="D65" t="s">
        <v>23</v>
      </c>
      <c r="E65" t="s">
        <v>23</v>
      </c>
      <c r="F65" t="s">
        <v>23</v>
      </c>
      <c r="G65" t="s">
        <v>23</v>
      </c>
      <c r="H65" t="s">
        <v>348</v>
      </c>
      <c r="I65" t="s">
        <v>349</v>
      </c>
      <c r="J65" t="s">
        <v>24</v>
      </c>
    </row>
    <row r="66" spans="1:10" x14ac:dyDescent="0.25">
      <c r="A66" t="s">
        <v>221</v>
      </c>
      <c r="B66" t="s">
        <v>26</v>
      </c>
      <c r="C66" t="s">
        <v>26</v>
      </c>
      <c r="D66" t="s">
        <v>23</v>
      </c>
      <c r="E66" t="s">
        <v>23</v>
      </c>
      <c r="F66" t="s">
        <v>23</v>
      </c>
      <c r="G66" t="s">
        <v>23</v>
      </c>
      <c r="H66" t="s">
        <v>350</v>
      </c>
      <c r="I66" t="s">
        <v>274</v>
      </c>
      <c r="J66" t="s">
        <v>24</v>
      </c>
    </row>
    <row r="67" spans="1:10" x14ac:dyDescent="0.25">
      <c r="A67" t="s">
        <v>222</v>
      </c>
      <c r="B67" t="s">
        <v>26</v>
      </c>
      <c r="C67" t="s">
        <v>26</v>
      </c>
      <c r="D67" t="s">
        <v>23</v>
      </c>
      <c r="E67" t="s">
        <v>23</v>
      </c>
      <c r="F67" t="s">
        <v>23</v>
      </c>
      <c r="G67" t="s">
        <v>23</v>
      </c>
      <c r="H67" t="s">
        <v>60</v>
      </c>
      <c r="I67" t="s">
        <v>351</v>
      </c>
      <c r="J67" t="s">
        <v>24</v>
      </c>
    </row>
    <row r="68" spans="1:10" x14ac:dyDescent="0.25">
      <c r="A68" t="s">
        <v>223</v>
      </c>
      <c r="B68" t="s">
        <v>26</v>
      </c>
      <c r="C68" t="s">
        <v>26</v>
      </c>
      <c r="D68" t="s">
        <v>23</v>
      </c>
      <c r="E68" t="s">
        <v>23</v>
      </c>
      <c r="F68" t="s">
        <v>23</v>
      </c>
      <c r="G68" t="s">
        <v>23</v>
      </c>
      <c r="H68" t="s">
        <v>352</v>
      </c>
      <c r="I68" t="s">
        <v>353</v>
      </c>
      <c r="J68" t="s">
        <v>24</v>
      </c>
    </row>
    <row r="69" spans="1:10" x14ac:dyDescent="0.25">
      <c r="A69" t="s">
        <v>224</v>
      </c>
      <c r="B69" t="s">
        <v>26</v>
      </c>
      <c r="C69" t="s">
        <v>21</v>
      </c>
      <c r="D69" t="s">
        <v>23</v>
      </c>
      <c r="E69" t="s">
        <v>23</v>
      </c>
      <c r="F69" t="s">
        <v>23</v>
      </c>
      <c r="G69" t="s">
        <v>23</v>
      </c>
      <c r="H69" t="s">
        <v>354</v>
      </c>
      <c r="I69" t="s">
        <v>355</v>
      </c>
      <c r="J69" t="s">
        <v>24</v>
      </c>
    </row>
    <row r="70" spans="1:10" x14ac:dyDescent="0.25">
      <c r="A70" t="s">
        <v>225</v>
      </c>
      <c r="B70" t="s">
        <v>26</v>
      </c>
      <c r="C70" t="s">
        <v>21</v>
      </c>
      <c r="D70" t="s">
        <v>23</v>
      </c>
      <c r="E70" t="s">
        <v>23</v>
      </c>
      <c r="F70" t="s">
        <v>23</v>
      </c>
      <c r="G70" t="s">
        <v>23</v>
      </c>
      <c r="H70" t="s">
        <v>356</v>
      </c>
      <c r="I70" t="s">
        <v>241</v>
      </c>
      <c r="J70" t="s">
        <v>24</v>
      </c>
    </row>
    <row r="71" spans="1:10" x14ac:dyDescent="0.25">
      <c r="A71" t="s">
        <v>226</v>
      </c>
      <c r="B71" t="s">
        <v>26</v>
      </c>
      <c r="C71" t="s">
        <v>26</v>
      </c>
      <c r="D71" t="s">
        <v>23</v>
      </c>
      <c r="E71" t="s">
        <v>23</v>
      </c>
      <c r="F71" t="s">
        <v>23</v>
      </c>
      <c r="G71" t="s">
        <v>23</v>
      </c>
      <c r="H71" t="s">
        <v>357</v>
      </c>
      <c r="I71" t="s">
        <v>358</v>
      </c>
      <c r="J71" t="s">
        <v>24</v>
      </c>
    </row>
    <row r="72" spans="1:10" x14ac:dyDescent="0.25">
      <c r="A72" t="s">
        <v>227</v>
      </c>
      <c r="B72" t="s">
        <v>26</v>
      </c>
      <c r="C72" t="s">
        <v>26</v>
      </c>
      <c r="D72" t="s">
        <v>23</v>
      </c>
      <c r="E72" t="s">
        <v>23</v>
      </c>
      <c r="F72" t="s">
        <v>23</v>
      </c>
      <c r="G72" t="s">
        <v>23</v>
      </c>
      <c r="H72" t="s">
        <v>359</v>
      </c>
      <c r="I72" t="s">
        <v>360</v>
      </c>
      <c r="J72" t="s">
        <v>24</v>
      </c>
    </row>
    <row r="73" spans="1:10" x14ac:dyDescent="0.25">
      <c r="A73" t="s">
        <v>228</v>
      </c>
      <c r="B73" t="s">
        <v>26</v>
      </c>
      <c r="C73" t="s">
        <v>26</v>
      </c>
      <c r="D73" t="s">
        <v>23</v>
      </c>
      <c r="E73" t="s">
        <v>23</v>
      </c>
      <c r="F73" t="s">
        <v>23</v>
      </c>
      <c r="G73" t="s">
        <v>23</v>
      </c>
      <c r="H73" t="s">
        <v>79</v>
      </c>
      <c r="I73" t="s">
        <v>185</v>
      </c>
      <c r="J73" t="s">
        <v>24</v>
      </c>
    </row>
    <row r="74" spans="1:10" x14ac:dyDescent="0.25">
      <c r="A74" t="s">
        <v>276</v>
      </c>
      <c r="B74" t="s">
        <v>26</v>
      </c>
      <c r="C74" t="s">
        <v>26</v>
      </c>
      <c r="D74" t="s">
        <v>23</v>
      </c>
      <c r="E74" t="s">
        <v>23</v>
      </c>
      <c r="F74" t="s">
        <v>23</v>
      </c>
      <c r="G74" t="s">
        <v>23</v>
      </c>
      <c r="H74" t="s">
        <v>184</v>
      </c>
      <c r="I74" t="s">
        <v>277</v>
      </c>
      <c r="J74" t="s">
        <v>24</v>
      </c>
    </row>
    <row r="75" spans="1:10" x14ac:dyDescent="0.25">
      <c r="A75" t="s">
        <v>229</v>
      </c>
      <c r="B75" t="s">
        <v>26</v>
      </c>
      <c r="C75" t="s">
        <v>21</v>
      </c>
      <c r="D75" t="s">
        <v>23</v>
      </c>
      <c r="E75" t="s">
        <v>23</v>
      </c>
      <c r="F75" t="s">
        <v>23</v>
      </c>
      <c r="G75" t="s">
        <v>23</v>
      </c>
      <c r="H75" t="s">
        <v>361</v>
      </c>
      <c r="I75" t="s">
        <v>362</v>
      </c>
      <c r="J75" t="s">
        <v>24</v>
      </c>
    </row>
    <row r="76" spans="1:10" x14ac:dyDescent="0.25">
      <c r="A76" t="s">
        <v>230</v>
      </c>
      <c r="B76" t="s">
        <v>26</v>
      </c>
      <c r="C76" t="s">
        <v>26</v>
      </c>
      <c r="D76" t="s">
        <v>23</v>
      </c>
      <c r="E76" t="s">
        <v>23</v>
      </c>
      <c r="F76" t="s">
        <v>23</v>
      </c>
      <c r="G76" t="s">
        <v>23</v>
      </c>
      <c r="H76" t="s">
        <v>237</v>
      </c>
      <c r="I76" t="s">
        <v>284</v>
      </c>
      <c r="J76" t="s">
        <v>24</v>
      </c>
    </row>
    <row r="77" spans="1:10" x14ac:dyDescent="0.25">
      <c r="A77" t="s">
        <v>232</v>
      </c>
      <c r="B77" t="s">
        <v>26</v>
      </c>
      <c r="C77" t="s">
        <v>26</v>
      </c>
      <c r="D77" t="s">
        <v>23</v>
      </c>
      <c r="E77" t="s">
        <v>23</v>
      </c>
      <c r="F77" t="s">
        <v>23</v>
      </c>
      <c r="G77" t="s">
        <v>23</v>
      </c>
      <c r="H77" t="s">
        <v>363</v>
      </c>
      <c r="I77" t="s">
        <v>364</v>
      </c>
      <c r="J77" t="s">
        <v>24</v>
      </c>
    </row>
    <row r="78" spans="1:10" x14ac:dyDescent="0.25">
      <c r="A78" t="s">
        <v>233</v>
      </c>
      <c r="B78" t="s">
        <v>26</v>
      </c>
      <c r="C78" t="s">
        <v>26</v>
      </c>
      <c r="D78" t="s">
        <v>23</v>
      </c>
      <c r="E78" t="s">
        <v>23</v>
      </c>
      <c r="F78" t="s">
        <v>23</v>
      </c>
      <c r="G78" t="s">
        <v>23</v>
      </c>
      <c r="H78" t="s">
        <v>286</v>
      </c>
      <c r="I78" t="s">
        <v>167</v>
      </c>
      <c r="J78" t="s">
        <v>24</v>
      </c>
    </row>
    <row r="79" spans="1:10" x14ac:dyDescent="0.25">
      <c r="A79" t="s">
        <v>234</v>
      </c>
      <c r="B79" t="s">
        <v>26</v>
      </c>
      <c r="C79" t="s">
        <v>26</v>
      </c>
      <c r="D79" t="s">
        <v>23</v>
      </c>
      <c r="E79" t="s">
        <v>23</v>
      </c>
      <c r="F79" t="s">
        <v>23</v>
      </c>
      <c r="G79" t="s">
        <v>23</v>
      </c>
      <c r="H79" t="s">
        <v>251</v>
      </c>
      <c r="I79" t="s">
        <v>160</v>
      </c>
      <c r="J79" t="s">
        <v>24</v>
      </c>
    </row>
    <row r="80" spans="1:10" x14ac:dyDescent="0.25">
      <c r="A80" t="s">
        <v>235</v>
      </c>
      <c r="B80" t="s">
        <v>26</v>
      </c>
      <c r="C80" t="s">
        <v>26</v>
      </c>
      <c r="D80" t="s">
        <v>23</v>
      </c>
      <c r="E80" t="s">
        <v>23</v>
      </c>
      <c r="F80" t="s">
        <v>23</v>
      </c>
      <c r="G80" t="s">
        <v>23</v>
      </c>
      <c r="H80" t="s">
        <v>254</v>
      </c>
      <c r="I80" t="s">
        <v>365</v>
      </c>
      <c r="J80" t="s">
        <v>24</v>
      </c>
    </row>
    <row r="81" spans="1:10" x14ac:dyDescent="0.25">
      <c r="A81" t="s">
        <v>236</v>
      </c>
      <c r="B81" t="s">
        <v>26</v>
      </c>
      <c r="C81" t="s">
        <v>26</v>
      </c>
      <c r="D81" t="s">
        <v>23</v>
      </c>
      <c r="E81" t="s">
        <v>23</v>
      </c>
      <c r="F81" t="s">
        <v>23</v>
      </c>
      <c r="G81" t="s">
        <v>23</v>
      </c>
      <c r="H81" t="s">
        <v>366</v>
      </c>
      <c r="I81" t="s">
        <v>367</v>
      </c>
      <c r="J81" t="s">
        <v>24</v>
      </c>
    </row>
    <row r="82" spans="1:10" x14ac:dyDescent="0.25">
      <c r="A82" t="s">
        <v>76</v>
      </c>
      <c r="B82" t="s">
        <v>26</v>
      </c>
      <c r="C82" t="s">
        <v>26</v>
      </c>
      <c r="D82" t="s">
        <v>23</v>
      </c>
      <c r="E82" t="s">
        <v>23</v>
      </c>
      <c r="F82" t="s">
        <v>23</v>
      </c>
      <c r="G82" t="s">
        <v>23</v>
      </c>
      <c r="H82" t="s">
        <v>368</v>
      </c>
      <c r="I82" t="s">
        <v>260</v>
      </c>
      <c r="J82" t="s">
        <v>24</v>
      </c>
    </row>
    <row r="83" spans="1:10" x14ac:dyDescent="0.25">
      <c r="A83" t="s">
        <v>78</v>
      </c>
      <c r="B83" t="s">
        <v>26</v>
      </c>
      <c r="C83" t="s">
        <v>26</v>
      </c>
      <c r="D83" t="s">
        <v>23</v>
      </c>
      <c r="E83" t="s">
        <v>23</v>
      </c>
      <c r="F83" t="s">
        <v>23</v>
      </c>
      <c r="G83" t="s">
        <v>23</v>
      </c>
      <c r="H83" t="s">
        <v>290</v>
      </c>
      <c r="I83" t="s">
        <v>214</v>
      </c>
      <c r="J83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0F188-D221-496A-BBE7-96ABE8BBC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CLAHE</vt:lpstr>
      <vt:lpstr>Arkusz1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SSSS</dc:creator>
  <cp:lastModifiedBy>Jakub SSSS</cp:lastModifiedBy>
  <dcterms:created xsi:type="dcterms:W3CDTF">2015-06-05T18:19:34Z</dcterms:created>
  <dcterms:modified xsi:type="dcterms:W3CDTF">2026-04-13T16:23:38Z</dcterms:modified>
</cp:coreProperties>
</file>