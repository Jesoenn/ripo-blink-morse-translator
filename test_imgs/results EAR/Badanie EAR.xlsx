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ub\PythonProjects\ripo\test_imgs\results EAR\"/>
    </mc:Choice>
  </mc:AlternateContent>
  <xr:revisionPtr revIDLastSave="0" documentId="13_ncr:1_{9D3D2C6E-EF6D-4127-A38E-4A68FD5F95C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tests_results_25" sheetId="5" r:id="rId1"/>
    <sheet name="tests_results_20" sheetId="4" r:id="rId2"/>
    <sheet name="tests_results_18" sheetId="3" r:id="rId3"/>
    <sheet name="tests_results_10" sheetId="2" r:id="rId4"/>
    <sheet name="Arkusz1" sheetId="1" r:id="rId5"/>
  </sheets>
  <definedNames>
    <definedName name="ExternalData_1" localSheetId="3" hidden="1">tests_results_10!$A$1:$J$95</definedName>
    <definedName name="ExternalData_2" localSheetId="2" hidden="1">tests_results_18!$A$1:$J$95</definedName>
    <definedName name="ExternalData_3" localSheetId="1" hidden="1">tests_results_20!$A$1:$J$95</definedName>
    <definedName name="ExternalData_4" localSheetId="0" hidden="1">tests_results_25!$A$1:$J$95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K24" i="1"/>
  <c r="J25" i="1"/>
  <c r="K25" i="1"/>
  <c r="J26" i="1"/>
  <c r="K26" i="1"/>
  <c r="J27" i="1"/>
  <c r="K27" i="1"/>
  <c r="K23" i="1"/>
  <c r="J23" i="1"/>
  <c r="F8" i="1"/>
  <c r="G8" i="1"/>
  <c r="H8" i="1"/>
  <c r="I8" i="1"/>
  <c r="J8" i="1"/>
  <c r="K8" i="1"/>
  <c r="L8" i="1"/>
  <c r="E8" i="1"/>
  <c r="O3" i="5"/>
  <c r="N3" i="5"/>
  <c r="O2" i="5"/>
  <c r="O4" i="5" s="1"/>
  <c r="N2" i="5"/>
  <c r="N4" i="5" s="1"/>
  <c r="O3" i="4"/>
  <c r="N3" i="4"/>
  <c r="O2" i="4"/>
  <c r="O4" i="4" s="1"/>
  <c r="N2" i="4"/>
  <c r="N4" i="4" s="1"/>
  <c r="O3" i="3"/>
  <c r="N3" i="3"/>
  <c r="O2" i="3"/>
  <c r="O4" i="3" s="1"/>
  <c r="N2" i="3"/>
  <c r="N4" i="3" s="1"/>
  <c r="O3" i="2"/>
  <c r="N3" i="2"/>
  <c r="O2" i="2"/>
  <c r="O4" i="2" s="1"/>
  <c r="N2" i="2"/>
  <c r="N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E1D017-43B6-4194-9068-5EA2F26875C6}" keepAlive="1" name="Zapytanie — tests_results_10" description="Połączenie z zapytaniem „tests_results_10” w skoroszycie." type="5" refreshedVersion="8" background="1" saveData="1">
    <dbPr connection="Provider=Microsoft.Mashup.OleDb.1;Data Source=$Workbook$;Location=tests_results_10;Extended Properties=&quot;&quot;" command="SELECT * FROM [tests_results_10]"/>
  </connection>
  <connection id="2" xr16:uid="{A4D0EB91-A2AC-4A58-B642-14880D7D7147}" keepAlive="1" name="Zapytanie — tests_results_18" description="Połączenie z zapytaniem „tests_results_18” w skoroszycie." type="5" refreshedVersion="8" background="1" saveData="1">
    <dbPr connection="Provider=Microsoft.Mashup.OleDb.1;Data Source=$Workbook$;Location=tests_results_18;Extended Properties=&quot;&quot;" command="SELECT * FROM [tests_results_18]"/>
  </connection>
  <connection id="3" xr16:uid="{4BADF075-F2E1-4527-BCE3-46BE63D7143C}" keepAlive="1" name="Zapytanie — tests_results_20" description="Połączenie z zapytaniem „tests_results_20” w skoroszycie." type="5" refreshedVersion="8" background="1" saveData="1">
    <dbPr connection="Provider=Microsoft.Mashup.OleDb.1;Data Source=$Workbook$;Location=tests_results_20;Extended Properties=&quot;&quot;" command="SELECT * FROM [tests_results_20]"/>
  </connection>
  <connection id="4" xr16:uid="{C08FBF8F-B5AA-4594-BAC5-96098FD1F8FA}" keepAlive="1" name="Zapytanie — tests_results_25" description="Połączenie z zapytaniem „tests_results_25” w skoroszycie." type="5" refreshedVersion="8" background="1" saveData="1">
    <dbPr connection="Provider=Microsoft.Mashup.OleDb.1;Data Source=$Workbook$;Location=tests_results_25;Extended Properties=&quot;&quot;" command="SELECT * FROM [tests_results_25]"/>
  </connection>
</connections>
</file>

<file path=xl/sharedStrings.xml><?xml version="1.0" encoding="utf-8"?>
<sst xmlns="http://schemas.openxmlformats.org/spreadsheetml/2006/main" count="3855" uniqueCount="316">
  <si>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</si>
  <si>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</si>
  <si>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</si>
  <si>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</si>
  <si>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</si>
  <si>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</si>
  <si>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</si>
  <si>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</si>
  <si>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</si>
  <si>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</si>
  <si>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Nazwa pliku</t>
  </si>
  <si>
    <t>Oryginalna etykieta</t>
  </si>
  <si>
    <t>Klasyfikacja</t>
  </si>
  <si>
    <t>CLAHE</t>
  </si>
  <si>
    <t>NOISE REDUCTION</t>
  </si>
  <si>
    <t>NORMALIZACJA JASNOSCI</t>
  </si>
  <si>
    <t>KOREKCJA GAMMA</t>
  </si>
  <si>
    <t>Left EAR</t>
  </si>
  <si>
    <t>Right EAR</t>
  </si>
  <si>
    <t>EAR threshold</t>
  </si>
  <si>
    <t>CLOSED_1.jpg</t>
  </si>
  <si>
    <t>CLOSED</t>
  </si>
  <si>
    <t>NO</t>
  </si>
  <si>
    <t>0.0902</t>
  </si>
  <si>
    <t>0.0720</t>
  </si>
  <si>
    <t>0.1000</t>
  </si>
  <si>
    <t>CLOSED_10.jpg</t>
  </si>
  <si>
    <t>0.0888</t>
  </si>
  <si>
    <t>0.0650</t>
  </si>
  <si>
    <t>CLOSED_11.jpg</t>
  </si>
  <si>
    <t>0.0855</t>
  </si>
  <si>
    <t>0.0762</t>
  </si>
  <si>
    <t>CLOSED_12.jpg</t>
  </si>
  <si>
    <t>0.0970</t>
  </si>
  <si>
    <t>0.0904</t>
  </si>
  <si>
    <t>CLOSED_13.jpg</t>
  </si>
  <si>
    <t>OPEN</t>
  </si>
  <si>
    <t>0.1018</t>
  </si>
  <si>
    <t>0.1097</t>
  </si>
  <si>
    <t>CLOSED_15.jpg</t>
  </si>
  <si>
    <t>0.0619</t>
  </si>
  <si>
    <t>0.0994</t>
  </si>
  <si>
    <t>CLOSED_16.jpg</t>
  </si>
  <si>
    <t>0.0892</t>
  </si>
  <si>
    <t>CLOSED_17.jpg</t>
  </si>
  <si>
    <t>0.0986</t>
  </si>
  <si>
    <t>0.0947</t>
  </si>
  <si>
    <t>CLOSED_18.jpg</t>
  </si>
  <si>
    <t>0.0920</t>
  </si>
  <si>
    <t>0.0974</t>
  </si>
  <si>
    <t>CLOSED_2.jpg</t>
  </si>
  <si>
    <t>0.0729</t>
  </si>
  <si>
    <t>0.0692</t>
  </si>
  <si>
    <t>CLOSED_20.jpg</t>
  </si>
  <si>
    <t>0.0354</t>
  </si>
  <si>
    <t>0.0495</t>
  </si>
  <si>
    <t>CLOSED_21.jpg</t>
  </si>
  <si>
    <t>0.0978</t>
  </si>
  <si>
    <t>0.0919</t>
  </si>
  <si>
    <t>CLOSED_22.jpg</t>
  </si>
  <si>
    <t>0.1189</t>
  </si>
  <si>
    <t>0.1498</t>
  </si>
  <si>
    <t>CLOSED_23.jpg</t>
  </si>
  <si>
    <t>0.1076</t>
  </si>
  <si>
    <t>0.1486</t>
  </si>
  <si>
    <t>CLOSED_24.jpg</t>
  </si>
  <si>
    <t>0.1249</t>
  </si>
  <si>
    <t>0.1147</t>
  </si>
  <si>
    <t>CLOSED_25.jpg</t>
  </si>
  <si>
    <t>0.0560</t>
  </si>
  <si>
    <t>0.0737</t>
  </si>
  <si>
    <t>CLOSED_26.jpg</t>
  </si>
  <si>
    <t>0.1698</t>
  </si>
  <si>
    <t>0.1063</t>
  </si>
  <si>
    <t>CLOSED_27.jpg</t>
  </si>
  <si>
    <t>0.1704</t>
  </si>
  <si>
    <t>0.1051</t>
  </si>
  <si>
    <t>CLOSED_28.jpg</t>
  </si>
  <si>
    <t>0.1196</t>
  </si>
  <si>
    <t>0.1492</t>
  </si>
  <si>
    <t>CLOSED_29.jpg</t>
  </si>
  <si>
    <t>0.1176</t>
  </si>
  <si>
    <t>0.1455</t>
  </si>
  <si>
    <t>CLOSED_3.jpg</t>
  </si>
  <si>
    <t>0.1507</t>
  </si>
  <si>
    <t>0.2035</t>
  </si>
  <si>
    <t>CLOSED_30.jpg</t>
  </si>
  <si>
    <t>0.0788</t>
  </si>
  <si>
    <t>0.0731</t>
  </si>
  <si>
    <t>CLOSED_31.jpg</t>
  </si>
  <si>
    <t>0.1521</t>
  </si>
  <si>
    <t>0.1178</t>
  </si>
  <si>
    <t>CLOSED_32.jpg</t>
  </si>
  <si>
    <t>0.1763</t>
  </si>
  <si>
    <t>0.2435</t>
  </si>
  <si>
    <t>CLOSED_34.jpg</t>
  </si>
  <si>
    <t>0.0983</t>
  </si>
  <si>
    <t>0.1039</t>
  </si>
  <si>
    <t>CLOSED_36.jpg</t>
  </si>
  <si>
    <t>0.1238</t>
  </si>
  <si>
    <t>0.1206</t>
  </si>
  <si>
    <t>CLOSED_37.jpg</t>
  </si>
  <si>
    <t>0.1080</t>
  </si>
  <si>
    <t>0.1035</t>
  </si>
  <si>
    <t>CLOSED_39.jpg</t>
  </si>
  <si>
    <t>0.1120</t>
  </si>
  <si>
    <t>CLOSED_4.jpg</t>
  </si>
  <si>
    <t>0.0992</t>
  </si>
  <si>
    <t>0.1221</t>
  </si>
  <si>
    <t>CLOSED_40.jpg</t>
  </si>
  <si>
    <t>0.2088</t>
  </si>
  <si>
    <t>0.0851</t>
  </si>
  <si>
    <t>CLOSED_41.jpg</t>
  </si>
  <si>
    <t>0.2717</t>
  </si>
  <si>
    <t>CLOSED_42.jpg</t>
  </si>
  <si>
    <t>0.1017</t>
  </si>
  <si>
    <t>0.3195</t>
  </si>
  <si>
    <t>CLOSED_43.jpg</t>
  </si>
  <si>
    <t>0.1143</t>
  </si>
  <si>
    <t>0.3186</t>
  </si>
  <si>
    <t>CLOSED_44.jpg</t>
  </si>
  <si>
    <t>0.2768</t>
  </si>
  <si>
    <t>0.0686</t>
  </si>
  <si>
    <t>CLOSED_45.jpg</t>
  </si>
  <si>
    <t>0.0726</t>
  </si>
  <si>
    <t>0.1418</t>
  </si>
  <si>
    <t>CLOSED_46.jpg</t>
  </si>
  <si>
    <t>0.1787</t>
  </si>
  <si>
    <t>0.0874</t>
  </si>
  <si>
    <t>CLOSED_47.jpg</t>
  </si>
  <si>
    <t>0.1089</t>
  </si>
  <si>
    <t>0.2245</t>
  </si>
  <si>
    <t>CLOSED_49.jpg</t>
  </si>
  <si>
    <t>0.1844</t>
  </si>
  <si>
    <t>0.0811</t>
  </si>
  <si>
    <t>CLOSED_5.jpg</t>
  </si>
  <si>
    <t>0.1395</t>
  </si>
  <si>
    <t>0.1197</t>
  </si>
  <si>
    <t>CLOSED_50.jpg</t>
  </si>
  <si>
    <t>0.2419</t>
  </si>
  <si>
    <t>0.0794</t>
  </si>
  <si>
    <t>CLOSED_6.jpg</t>
  </si>
  <si>
    <t>0.1144</t>
  </si>
  <si>
    <t>0.0818</t>
  </si>
  <si>
    <t>CLOSED_7.jpg</t>
  </si>
  <si>
    <t>0.0574</t>
  </si>
  <si>
    <t>0.0605</t>
  </si>
  <si>
    <t>CLOSED_8.jpg</t>
  </si>
  <si>
    <t>0.1046</t>
  </si>
  <si>
    <t>0.1377</t>
  </si>
  <si>
    <t>CLOSED_9.jpg</t>
  </si>
  <si>
    <t>0.0657</t>
  </si>
  <si>
    <t>OPEN_1.jpg</t>
  </si>
  <si>
    <t>0.3026</t>
  </si>
  <si>
    <t>0.2796</t>
  </si>
  <si>
    <t>OPEN_10.jpg</t>
  </si>
  <si>
    <t>0.2585</t>
  </si>
  <si>
    <t>0.2261</t>
  </si>
  <si>
    <t>OPEN_11.jpg</t>
  </si>
  <si>
    <t>0.0747</t>
  </si>
  <si>
    <t>0.1506</t>
  </si>
  <si>
    <t>OPEN_12.jpg</t>
  </si>
  <si>
    <t>0.1504</t>
  </si>
  <si>
    <t>0.2053</t>
  </si>
  <si>
    <t>OPEN_13.jpg</t>
  </si>
  <si>
    <t>0.3163</t>
  </si>
  <si>
    <t>0.3191</t>
  </si>
  <si>
    <t>OPEN_14.jpg</t>
  </si>
  <si>
    <t>0.2226</t>
  </si>
  <si>
    <t>0.1887</t>
  </si>
  <si>
    <t>OPEN_15.jpg</t>
  </si>
  <si>
    <t>0.2433</t>
  </si>
  <si>
    <t>0.1909</t>
  </si>
  <si>
    <t>OPEN_16.jpg</t>
  </si>
  <si>
    <t>0.2805</t>
  </si>
  <si>
    <t>0.2769</t>
  </si>
  <si>
    <t>OPEN_17.jpg</t>
  </si>
  <si>
    <t>0.2374</t>
  </si>
  <si>
    <t>0.1992</t>
  </si>
  <si>
    <t>OPEN_18.jpg</t>
  </si>
  <si>
    <t>0.2376</t>
  </si>
  <si>
    <t>0.2551</t>
  </si>
  <si>
    <t>OPEN_19.jpg</t>
  </si>
  <si>
    <t>0.1980</t>
  </si>
  <si>
    <t>0.2208</t>
  </si>
  <si>
    <t>OPEN_2.jpg</t>
  </si>
  <si>
    <t>0.2284</t>
  </si>
  <si>
    <t>OPEN_20.jpg</t>
  </si>
  <si>
    <t>0.2626</t>
  </si>
  <si>
    <t>0.3114</t>
  </si>
  <si>
    <t>OPEN_21.jpg</t>
  </si>
  <si>
    <t>0.2745</t>
  </si>
  <si>
    <t>0.4137</t>
  </si>
  <si>
    <t>OPEN_22.jpg</t>
  </si>
  <si>
    <t>0.4122</t>
  </si>
  <si>
    <t>0.1914</t>
  </si>
  <si>
    <t>OPEN_23.jpg</t>
  </si>
  <si>
    <t>0.3752</t>
  </si>
  <si>
    <t>0.1255</t>
  </si>
  <si>
    <t>OPEN_24.jpg</t>
  </si>
  <si>
    <t>0.3308</t>
  </si>
  <si>
    <t>0.2812</t>
  </si>
  <si>
    <t>OPEN_25.jpg</t>
  </si>
  <si>
    <t>0.2530</t>
  </si>
  <si>
    <t>0.3389</t>
  </si>
  <si>
    <t>OPEN_26.jpg</t>
  </si>
  <si>
    <t>0.2574</t>
  </si>
  <si>
    <t>OPEN_27.jpg</t>
  </si>
  <si>
    <t>0.2611</t>
  </si>
  <si>
    <t>0.2591</t>
  </si>
  <si>
    <t>OPEN_28.jpg</t>
  </si>
  <si>
    <t>0.2067</t>
  </si>
  <si>
    <t>0.1902</t>
  </si>
  <si>
    <t>OPEN_29.jpg</t>
  </si>
  <si>
    <t>0.2467</t>
  </si>
  <si>
    <t>0.2092</t>
  </si>
  <si>
    <t>OPEN_3.jpg</t>
  </si>
  <si>
    <t>0.2839</t>
  </si>
  <si>
    <t>0.2224</t>
  </si>
  <si>
    <t>OPEN_30.jpg</t>
  </si>
  <si>
    <t>0.2921</t>
  </si>
  <si>
    <t>0.3048</t>
  </si>
  <si>
    <t>OPEN_31.jpg</t>
  </si>
  <si>
    <t>0.3377</t>
  </si>
  <si>
    <t>0.3209</t>
  </si>
  <si>
    <t>OPEN_32.jpg</t>
  </si>
  <si>
    <t>0.3292</t>
  </si>
  <si>
    <t>0.3089</t>
  </si>
  <si>
    <t>OPEN_33.jpg</t>
  </si>
  <si>
    <t>0.1265</t>
  </si>
  <si>
    <t>0.0995</t>
  </si>
  <si>
    <t>OPEN_34.jpg</t>
  </si>
  <si>
    <t>0.2967</t>
  </si>
  <si>
    <t>0.2703</t>
  </si>
  <si>
    <t>OPEN_35.jpg</t>
  </si>
  <si>
    <t>0.2267</t>
  </si>
  <si>
    <t>0.3068</t>
  </si>
  <si>
    <t>OPEN_36.jpg</t>
  </si>
  <si>
    <t>0.2933</t>
  </si>
  <si>
    <t>0.3049</t>
  </si>
  <si>
    <t>OPEN_37.jpg</t>
  </si>
  <si>
    <t>0.2936</t>
  </si>
  <si>
    <t>0.2566</t>
  </si>
  <si>
    <t>OPEN_38.jpg</t>
  </si>
  <si>
    <t>0.2844</t>
  </si>
  <si>
    <t>0.2157</t>
  </si>
  <si>
    <t>OPEN_39.jpg</t>
  </si>
  <si>
    <t>0.2820</t>
  </si>
  <si>
    <t>0.3157</t>
  </si>
  <si>
    <t>OPEN_4.jpg</t>
  </si>
  <si>
    <t>0.2741</t>
  </si>
  <si>
    <t>0.2326</t>
  </si>
  <si>
    <t>OPEN_40.jpg</t>
  </si>
  <si>
    <t>0.2459</t>
  </si>
  <si>
    <t>0.2353</t>
  </si>
  <si>
    <t>OPEN_42.jpg</t>
  </si>
  <si>
    <t>0.3851</t>
  </si>
  <si>
    <t>0.2927</t>
  </si>
  <si>
    <t>OPEN_43.jpg</t>
  </si>
  <si>
    <t>0.1642</t>
  </si>
  <si>
    <t>0.2064</t>
  </si>
  <si>
    <t>OPEN_44.jpg</t>
  </si>
  <si>
    <t>0.2633</t>
  </si>
  <si>
    <t>0.2198</t>
  </si>
  <si>
    <t>OPEN_45.jpg</t>
  </si>
  <si>
    <t>0.3038</t>
  </si>
  <si>
    <t>0.2952</t>
  </si>
  <si>
    <t>OPEN_46.jpg</t>
  </si>
  <si>
    <t>0.1393</t>
  </si>
  <si>
    <t>OPEN_47.jpg</t>
  </si>
  <si>
    <t>0.2217</t>
  </si>
  <si>
    <t>0.1819</t>
  </si>
  <si>
    <t>OPEN_48.jpg</t>
  </si>
  <si>
    <t>0.3118</t>
  </si>
  <si>
    <t>0.2744</t>
  </si>
  <si>
    <t>OPEN_49.jpg</t>
  </si>
  <si>
    <t>0.3589</t>
  </si>
  <si>
    <t>0.2508</t>
  </si>
  <si>
    <t>OPEN_5.jpg</t>
  </si>
  <si>
    <t>0.2450</t>
  </si>
  <si>
    <t>OPEN_50.jpg</t>
  </si>
  <si>
    <t>0.3086</t>
  </si>
  <si>
    <t>0.2881</t>
  </si>
  <si>
    <t>OPEN_6.jpg</t>
  </si>
  <si>
    <t>0.2515</t>
  </si>
  <si>
    <t>0.2422</t>
  </si>
  <si>
    <t>OPEN_7.jpg</t>
  </si>
  <si>
    <t>0.2725</t>
  </si>
  <si>
    <t>0.3512</t>
  </si>
  <si>
    <t>OPEN_8.jpg</t>
  </si>
  <si>
    <t>0.2403</t>
  </si>
  <si>
    <t>0.2988</t>
  </si>
  <si>
    <t>OPEN_9.jpg</t>
  </si>
  <si>
    <t>0.2553</t>
  </si>
  <si>
    <t>0.1800</t>
  </si>
  <si>
    <t>0.2000</t>
  </si>
  <si>
    <t>0.2500</t>
  </si>
  <si>
    <t>0.2610</t>
  </si>
  <si>
    <t>0.2559</t>
  </si>
  <si>
    <t>0.2502</t>
  </si>
  <si>
    <t>0.3173</t>
  </si>
  <si>
    <t>0.2417</t>
  </si>
  <si>
    <t>0.2941</t>
  </si>
  <si>
    <t>0.3037</t>
  </si>
  <si>
    <t>ZGADZA SIĘ</t>
  </si>
  <si>
    <t>SUMA</t>
  </si>
  <si>
    <t>PROCENT</t>
  </si>
  <si>
    <t xml:space="preserve">MOCNE PRZYMRUZENIE JAKO CLOSED. </t>
  </si>
  <si>
    <t>0.1</t>
  </si>
  <si>
    <t>0.18</t>
  </si>
  <si>
    <t>0.2</t>
  </si>
  <si>
    <t>0.25</t>
  </si>
  <si>
    <t>W sprawku opisac od 0.25 i zostac przy 0.18, mocne przymruzenie jako mrugniecie</t>
  </si>
  <si>
    <t>Zamknięte</t>
  </si>
  <si>
    <t>Otwarte</t>
  </si>
  <si>
    <t>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</si>
</sst>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803CB02-31D7-4CC6-95BA-B39FEB01062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EDACF88-8048-47A6-8A65-1F16B8F8080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AB9E8F2-469C-4153-82ED-FBE30118AF47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3B03C5-4C8A-4B9C-BB02-DD6ED9241FDF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198E04-1FA6-42CB-9F4E-D4FBF28CE987}" name="tests_results_25" displayName="tests_results_25" ref="A1:J95" tableType="queryTable" totalsRowShown="0">
  <autoFilter ref="A1:J95" xr:uid="{68198E04-1FA6-42CB-9F4E-D4FBF28CE987}"/>
  <tableColumns count="10">
    <tableColumn id="1" xr3:uid="{06923604-2096-450A-9DE0-48C08B9A5036}" uniqueName="1" name="Column1" queryTableFieldId="1" dataDxfId="9"/>
    <tableColumn id="2" xr3:uid="{DA015479-CF67-45CA-9D3C-2EC93FF61BE0}" uniqueName="2" name="Column2" queryTableFieldId="2" dataDxfId="8"/>
    <tableColumn id="3" xr3:uid="{FE79394D-8626-4CB5-A43F-93EC57620C3C}" uniqueName="3" name="Column3" queryTableFieldId="3" dataDxfId="7"/>
    <tableColumn id="4" xr3:uid="{E8B7EC11-BEC5-4CFB-A90C-C84C719FFB0C}" uniqueName="4" name="Column4" queryTableFieldId="4" dataDxfId="6"/>
    <tableColumn id="5" xr3:uid="{0BC61015-3F92-4EA3-8C23-98E1EEA6B7FE}" uniqueName="5" name="Column5" queryTableFieldId="5" dataDxfId="5"/>
    <tableColumn id="6" xr3:uid="{2B103CD3-F4B8-43E3-9401-A7439DB6ECD7}" uniqueName="6" name="Column6" queryTableFieldId="6" dataDxfId="4"/>
    <tableColumn id="7" xr3:uid="{587F22EC-708F-42DC-BC6A-DE345EEC7B2D}" uniqueName="7" name="Column7" queryTableFieldId="7" dataDxfId="3"/>
    <tableColumn id="8" xr3:uid="{AAD485ED-D539-4A67-864E-7260A7ECB6BF}" uniqueName="8" name="Column8" queryTableFieldId="8" dataDxfId="2"/>
    <tableColumn id="9" xr3:uid="{537F800B-671E-4B1E-BA43-F22A65346903}" uniqueName="9" name="Column9" queryTableFieldId="9" dataDxfId="1"/>
    <tableColumn id="10" xr3:uid="{25B8E077-E4F6-4F0B-864D-0B5C374A7281}" uniqueName="1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C9719A-9788-4C86-B482-8F71C99DBBA1}" name="tests_results_20" displayName="tests_results_20" ref="A1:J95" tableType="queryTable" totalsRowShown="0">
  <autoFilter ref="A1:J95" xr:uid="{65C9719A-9788-4C86-B482-8F71C99DBBA1}"/>
  <tableColumns count="10">
    <tableColumn id="1" xr3:uid="{A3A0AF4F-EA7A-4EDF-83F9-1B0B33359CEF}" uniqueName="1" name="Column1" queryTableFieldId="1" dataDxfId="19"/>
    <tableColumn id="2" xr3:uid="{B0A2D626-86B0-41D0-897B-70EBB8363884}" uniqueName="2" name="Column2" queryTableFieldId="2" dataDxfId="18"/>
    <tableColumn id="3" xr3:uid="{0BE72CA1-9717-432F-8C1F-89F57136DAEC}" uniqueName="3" name="Column3" queryTableFieldId="3" dataDxfId="17"/>
    <tableColumn id="4" xr3:uid="{F2BF74F8-3A84-4018-9318-BE93CB68C834}" uniqueName="4" name="Column4" queryTableFieldId="4" dataDxfId="16"/>
    <tableColumn id="5" xr3:uid="{B42836A8-29CE-4539-B4B5-86E95BC13D39}" uniqueName="5" name="Column5" queryTableFieldId="5" dataDxfId="15"/>
    <tableColumn id="6" xr3:uid="{82F4AF53-0739-4BB1-81E2-A5AD3BBF5B87}" uniqueName="6" name="Column6" queryTableFieldId="6" dataDxfId="14"/>
    <tableColumn id="7" xr3:uid="{3F3D8B40-E56F-4751-A170-8C6FA1ABFB8A}" uniqueName="7" name="Column7" queryTableFieldId="7" dataDxfId="13"/>
    <tableColumn id="8" xr3:uid="{3F2A8BAD-9095-4B45-A430-EF6A44344DCA}" uniqueName="8" name="Column8" queryTableFieldId="8" dataDxfId="12"/>
    <tableColumn id="9" xr3:uid="{8547EDCE-7AC5-432C-B0FA-C79E904368DD}" uniqueName="9" name="Column9" queryTableFieldId="9" dataDxfId="11"/>
    <tableColumn id="10" xr3:uid="{F1D3BB61-EB96-451C-B0E6-C87EDF00B505}" uniqueName="10" name="Column10" queryTableFieldId="10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C3EA06-D979-4C89-AD7A-16C6FFC1B7EF}" name="tests_results_18" displayName="tests_results_18" ref="A1:J95" tableType="queryTable" totalsRowShown="0">
  <autoFilter ref="A1:J95" xr:uid="{DDC3EA06-D979-4C89-AD7A-16C6FFC1B7EF}"/>
  <tableColumns count="10">
    <tableColumn id="1" xr3:uid="{5B9526D7-50FF-4D2F-BF22-1F614007ADE4}" uniqueName="1" name="Column1" queryTableFieldId="1" dataDxfId="29"/>
    <tableColumn id="2" xr3:uid="{948B4A8A-0F51-4278-AD04-5BB33423BD88}" uniqueName="2" name="Column2" queryTableFieldId="2" dataDxfId="28"/>
    <tableColumn id="3" xr3:uid="{B77ECAD0-7FB6-4130-88FE-FA098B0E02D7}" uniqueName="3" name="Column3" queryTableFieldId="3" dataDxfId="27"/>
    <tableColumn id="4" xr3:uid="{0668E2A6-3DF4-4671-9A8E-4780D20803C0}" uniqueName="4" name="Column4" queryTableFieldId="4" dataDxfId="26"/>
    <tableColumn id="5" xr3:uid="{70554DDC-867E-40AC-8E8E-859C4533F777}" uniqueName="5" name="Column5" queryTableFieldId="5" dataDxfId="25"/>
    <tableColumn id="6" xr3:uid="{D978CCFD-DBFE-4428-96BB-E6FC6D168A0A}" uniqueName="6" name="Column6" queryTableFieldId="6" dataDxfId="24"/>
    <tableColumn id="7" xr3:uid="{E265932E-2F26-4DCD-A093-989C8DC2C7F6}" uniqueName="7" name="Column7" queryTableFieldId="7" dataDxfId="23"/>
    <tableColumn id="8" xr3:uid="{094ED1BE-7650-4947-ACF9-5C7756CA34F0}" uniqueName="8" name="Column8" queryTableFieldId="8" dataDxfId="22"/>
    <tableColumn id="9" xr3:uid="{67559F9C-AB66-407D-954C-329292F147F2}" uniqueName="9" name="Column9" queryTableFieldId="9" dataDxfId="21"/>
    <tableColumn id="10" xr3:uid="{8F4BF576-8379-4D21-BA27-09CA5996C26E}" uniqueName="10" name="Column10" queryTableFieldId="10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A486D-EDC4-4896-8DD6-2F6621B8DED3}" name="tests_results_10" displayName="tests_results_10" ref="A1:J95" tableType="queryTable" totalsRowShown="0">
  <autoFilter ref="A1:J95" xr:uid="{C99A486D-EDC4-4896-8DD6-2F6621B8DED3}"/>
  <tableColumns count="10">
    <tableColumn id="1" xr3:uid="{08B3E2AF-83DA-443A-B73D-A2621D736BB8}" uniqueName="1" name="Column1" queryTableFieldId="1" dataDxfId="39"/>
    <tableColumn id="2" xr3:uid="{02C05A63-42B7-4DEF-BC97-FA1C906FF075}" uniqueName="2" name="Column2" queryTableFieldId="2" dataDxfId="38"/>
    <tableColumn id="3" xr3:uid="{A0BCE1A2-D5AC-4C30-8678-546737A9018D}" uniqueName="3" name="Column3" queryTableFieldId="3" dataDxfId="37"/>
    <tableColumn id="4" xr3:uid="{337712DF-1652-4762-9110-324B461C4132}" uniqueName="4" name="Column4" queryTableFieldId="4" dataDxfId="36"/>
    <tableColumn id="5" xr3:uid="{213A40B1-C6C8-4EA4-898E-70D688B9AD4C}" uniqueName="5" name="Column5" queryTableFieldId="5" dataDxfId="35"/>
    <tableColumn id="6" xr3:uid="{B68B0C0E-EC4A-4191-8530-3C882C8AC7D3}" uniqueName="6" name="Column6" queryTableFieldId="6" dataDxfId="34"/>
    <tableColumn id="7" xr3:uid="{1A289341-3D54-4F75-8EF6-0B21F4092618}" uniqueName="7" name="Column7" queryTableFieldId="7" dataDxfId="33"/>
    <tableColumn id="8" xr3:uid="{2F4FFF2C-A30B-4DA2-B29C-394239B5D0B5}" uniqueName="8" name="Column8" queryTableFieldId="8" dataDxfId="32"/>
    <tableColumn id="9" xr3:uid="{B6BC501B-6C3F-46B1-84DE-ED664860E046}" uniqueName="9" name="Column9" queryTableFieldId="9" dataDxfId="31"/>
    <tableColumn id="10" xr3:uid="{BB3BDFC5-C2DC-4070-A6AD-4CE2A5C37EC0}" uniqueName="10" name="Column10" queryTableFieldId="10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8E11-3DFA-49D2-B176-ECE8C194BEAB}">
  <dimension ref="A1:O9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36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304</v>
      </c>
      <c r="N2">
        <f>COUNTIFS(B:B, "CLOSED", C:C, "CLOSED")</f>
        <v>44</v>
      </c>
      <c r="O2">
        <f>COUNTIFS(B:B, "OPEN", C:C, "OPEN")</f>
        <v>23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23</v>
      </c>
      <c r="I3" s="1" t="s">
        <v>24</v>
      </c>
      <c r="J3" s="1" t="s">
        <v>296</v>
      </c>
      <c r="M3" s="2" t="s">
        <v>305</v>
      </c>
      <c r="N3">
        <f>COUNTIFS(B:B, "CLOSED")</f>
        <v>44</v>
      </c>
      <c r="O3">
        <f>COUNTIFS(B:B, "OPEN")</f>
        <v>49</v>
      </c>
    </row>
    <row r="4" spans="1:15" x14ac:dyDescent="0.25">
      <c r="A4" s="1" t="s">
        <v>26</v>
      </c>
      <c r="B4" s="1" t="s">
        <v>21</v>
      </c>
      <c r="C4" s="1" t="s">
        <v>21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27</v>
      </c>
      <c r="I4" s="1" t="s">
        <v>28</v>
      </c>
      <c r="J4" s="1" t="s">
        <v>296</v>
      </c>
      <c r="M4" s="2" t="s">
        <v>306</v>
      </c>
      <c r="N4">
        <f>N2/N3</f>
        <v>1</v>
      </c>
      <c r="O4">
        <f>O2/O3</f>
        <v>0.46938775510204084</v>
      </c>
    </row>
    <row r="5" spans="1:15" x14ac:dyDescent="0.25">
      <c r="A5" s="1" t="s">
        <v>29</v>
      </c>
      <c r="B5" s="1" t="s">
        <v>21</v>
      </c>
      <c r="C5" s="1" t="s">
        <v>21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30</v>
      </c>
      <c r="I5" s="1" t="s">
        <v>31</v>
      </c>
      <c r="J5" s="1" t="s">
        <v>296</v>
      </c>
    </row>
    <row r="6" spans="1:15" x14ac:dyDescent="0.25">
      <c r="A6" s="1" t="s">
        <v>32</v>
      </c>
      <c r="B6" s="1" t="s">
        <v>21</v>
      </c>
      <c r="C6" s="1" t="s">
        <v>21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33</v>
      </c>
      <c r="I6" s="1" t="s">
        <v>34</v>
      </c>
      <c r="J6" s="1" t="s">
        <v>296</v>
      </c>
    </row>
    <row r="7" spans="1:15" x14ac:dyDescent="0.25">
      <c r="A7" s="1" t="s">
        <v>35</v>
      </c>
      <c r="B7" s="1" t="s">
        <v>21</v>
      </c>
      <c r="C7" s="1" t="s">
        <v>21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37</v>
      </c>
      <c r="I7" s="1" t="s">
        <v>38</v>
      </c>
      <c r="J7" s="1" t="s">
        <v>296</v>
      </c>
    </row>
    <row r="8" spans="1:15" x14ac:dyDescent="0.25">
      <c r="A8" s="1" t="s">
        <v>39</v>
      </c>
      <c r="B8" s="1" t="s">
        <v>21</v>
      </c>
      <c r="C8" s="1" t="s">
        <v>21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40</v>
      </c>
      <c r="I8" s="1" t="s">
        <v>41</v>
      </c>
      <c r="J8" s="1" t="s">
        <v>296</v>
      </c>
    </row>
    <row r="9" spans="1:15" x14ac:dyDescent="0.25">
      <c r="A9" s="1" t="s">
        <v>42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23</v>
      </c>
      <c r="I9" s="1" t="s">
        <v>43</v>
      </c>
      <c r="J9" s="1" t="s">
        <v>296</v>
      </c>
    </row>
    <row r="10" spans="1:15" x14ac:dyDescent="0.25">
      <c r="A10" s="1" t="s">
        <v>44</v>
      </c>
      <c r="B10" s="1" t="s">
        <v>21</v>
      </c>
      <c r="C10" s="1" t="s">
        <v>21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45</v>
      </c>
      <c r="I10" s="1" t="s">
        <v>46</v>
      </c>
      <c r="J10" s="1" t="s">
        <v>296</v>
      </c>
    </row>
    <row r="11" spans="1:15" x14ac:dyDescent="0.25">
      <c r="A11" s="1" t="s">
        <v>47</v>
      </c>
      <c r="B11" s="1" t="s">
        <v>21</v>
      </c>
      <c r="C11" s="1" t="s">
        <v>21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48</v>
      </c>
      <c r="I11" s="1" t="s">
        <v>49</v>
      </c>
      <c r="J11" s="1" t="s">
        <v>296</v>
      </c>
    </row>
    <row r="12" spans="1:15" x14ac:dyDescent="0.25">
      <c r="A12" s="1" t="s">
        <v>50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51</v>
      </c>
      <c r="I12" s="1" t="s">
        <v>52</v>
      </c>
      <c r="J12" s="1" t="s">
        <v>296</v>
      </c>
    </row>
    <row r="13" spans="1:15" x14ac:dyDescent="0.25">
      <c r="A13" s="1" t="s">
        <v>53</v>
      </c>
      <c r="B13" s="1" t="s">
        <v>21</v>
      </c>
      <c r="C13" s="1" t="s">
        <v>21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54</v>
      </c>
      <c r="I13" s="1" t="s">
        <v>55</v>
      </c>
      <c r="J13" s="1" t="s">
        <v>296</v>
      </c>
    </row>
    <row r="14" spans="1:15" x14ac:dyDescent="0.25">
      <c r="A14" s="1" t="s">
        <v>56</v>
      </c>
      <c r="B14" s="1" t="s">
        <v>21</v>
      </c>
      <c r="C14" s="1" t="s">
        <v>21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57</v>
      </c>
      <c r="I14" s="1" t="s">
        <v>58</v>
      </c>
      <c r="J14" s="1" t="s">
        <v>296</v>
      </c>
    </row>
    <row r="15" spans="1:15" x14ac:dyDescent="0.25">
      <c r="A15" s="1" t="s">
        <v>59</v>
      </c>
      <c r="B15" s="1" t="s">
        <v>21</v>
      </c>
      <c r="C15" s="1" t="s">
        <v>21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60</v>
      </c>
      <c r="I15" s="1" t="s">
        <v>61</v>
      </c>
      <c r="J15" s="1" t="s">
        <v>296</v>
      </c>
    </row>
    <row r="16" spans="1:15" x14ac:dyDescent="0.25">
      <c r="A16" s="1" t="s">
        <v>62</v>
      </c>
      <c r="B16" s="1" t="s">
        <v>21</v>
      </c>
      <c r="C16" s="1" t="s">
        <v>21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63</v>
      </c>
      <c r="I16" s="1" t="s">
        <v>64</v>
      </c>
      <c r="J16" s="1" t="s">
        <v>296</v>
      </c>
    </row>
    <row r="17" spans="1:10" x14ac:dyDescent="0.25">
      <c r="A17" s="1" t="s">
        <v>65</v>
      </c>
      <c r="B17" s="1" t="s">
        <v>21</v>
      </c>
      <c r="C17" s="1" t="s">
        <v>21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66</v>
      </c>
      <c r="I17" s="1" t="s">
        <v>67</v>
      </c>
      <c r="J17" s="1" t="s">
        <v>296</v>
      </c>
    </row>
    <row r="18" spans="1:10" x14ac:dyDescent="0.25">
      <c r="A18" s="1" t="s">
        <v>68</v>
      </c>
      <c r="B18" s="1" t="s">
        <v>21</v>
      </c>
      <c r="C18" s="1" t="s">
        <v>21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69</v>
      </c>
      <c r="I18" s="1" t="s">
        <v>70</v>
      </c>
      <c r="J18" s="1" t="s">
        <v>296</v>
      </c>
    </row>
    <row r="19" spans="1:10" x14ac:dyDescent="0.25">
      <c r="A19" s="1" t="s">
        <v>71</v>
      </c>
      <c r="B19" s="1" t="s">
        <v>21</v>
      </c>
      <c r="C19" s="1" t="s">
        <v>21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72</v>
      </c>
      <c r="I19" s="1" t="s">
        <v>73</v>
      </c>
      <c r="J19" s="1" t="s">
        <v>296</v>
      </c>
    </row>
    <row r="20" spans="1:10" x14ac:dyDescent="0.25">
      <c r="A20" s="1" t="s">
        <v>74</v>
      </c>
      <c r="B20" s="1" t="s">
        <v>21</v>
      </c>
      <c r="C20" s="1" t="s">
        <v>21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75</v>
      </c>
      <c r="I20" s="1" t="s">
        <v>76</v>
      </c>
      <c r="J20" s="1" t="s">
        <v>296</v>
      </c>
    </row>
    <row r="21" spans="1:10" x14ac:dyDescent="0.25">
      <c r="A21" s="1" t="s">
        <v>77</v>
      </c>
      <c r="B21" s="1" t="s">
        <v>21</v>
      </c>
      <c r="C21" s="1" t="s">
        <v>21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78</v>
      </c>
      <c r="I21" s="1" t="s">
        <v>79</v>
      </c>
      <c r="J21" s="1" t="s">
        <v>296</v>
      </c>
    </row>
    <row r="22" spans="1:10" x14ac:dyDescent="0.25">
      <c r="A22" s="1" t="s">
        <v>80</v>
      </c>
      <c r="B22" s="1" t="s">
        <v>21</v>
      </c>
      <c r="C22" s="1" t="s">
        <v>21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81</v>
      </c>
      <c r="I22" s="1" t="s">
        <v>82</v>
      </c>
      <c r="J22" s="1" t="s">
        <v>296</v>
      </c>
    </row>
    <row r="23" spans="1:10" x14ac:dyDescent="0.25">
      <c r="A23" s="1" t="s">
        <v>83</v>
      </c>
      <c r="B23" s="1" t="s">
        <v>21</v>
      </c>
      <c r="C23" s="1" t="s">
        <v>21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84</v>
      </c>
      <c r="I23" s="1" t="s">
        <v>85</v>
      </c>
      <c r="J23" s="1" t="s">
        <v>296</v>
      </c>
    </row>
    <row r="24" spans="1:10" x14ac:dyDescent="0.25">
      <c r="A24" s="1" t="s">
        <v>86</v>
      </c>
      <c r="B24" s="1" t="s">
        <v>21</v>
      </c>
      <c r="C24" s="1" t="s">
        <v>21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87</v>
      </c>
      <c r="I24" s="1" t="s">
        <v>88</v>
      </c>
      <c r="J24" s="1" t="s">
        <v>296</v>
      </c>
    </row>
    <row r="25" spans="1:10" x14ac:dyDescent="0.25">
      <c r="A25" s="1" t="s">
        <v>89</v>
      </c>
      <c r="B25" s="1" t="s">
        <v>21</v>
      </c>
      <c r="C25" s="1" t="s">
        <v>21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90</v>
      </c>
      <c r="I25" s="1" t="s">
        <v>91</v>
      </c>
      <c r="J25" s="1" t="s">
        <v>296</v>
      </c>
    </row>
    <row r="26" spans="1:10" x14ac:dyDescent="0.25">
      <c r="A26" s="1" t="s">
        <v>92</v>
      </c>
      <c r="B26" s="1" t="s">
        <v>21</v>
      </c>
      <c r="C26" s="1" t="s">
        <v>21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93</v>
      </c>
      <c r="I26" s="1" t="s">
        <v>94</v>
      </c>
      <c r="J26" s="1" t="s">
        <v>296</v>
      </c>
    </row>
    <row r="27" spans="1:10" x14ac:dyDescent="0.25">
      <c r="A27" s="1" t="s">
        <v>95</v>
      </c>
      <c r="B27" s="1" t="s">
        <v>21</v>
      </c>
      <c r="C27" s="1" t="s">
        <v>21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96</v>
      </c>
      <c r="I27" s="1" t="s">
        <v>97</v>
      </c>
      <c r="J27" s="1" t="s">
        <v>296</v>
      </c>
    </row>
    <row r="28" spans="1:10" x14ac:dyDescent="0.25">
      <c r="A28" s="1" t="s">
        <v>98</v>
      </c>
      <c r="B28" s="1" t="s">
        <v>21</v>
      </c>
      <c r="C28" s="1" t="s">
        <v>21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99</v>
      </c>
      <c r="I28" s="1" t="s">
        <v>100</v>
      </c>
      <c r="J28" s="1" t="s">
        <v>296</v>
      </c>
    </row>
    <row r="29" spans="1:10" x14ac:dyDescent="0.25">
      <c r="A29" s="1" t="s">
        <v>101</v>
      </c>
      <c r="B29" s="1" t="s">
        <v>21</v>
      </c>
      <c r="C29" s="1" t="s">
        <v>21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102</v>
      </c>
      <c r="I29" s="1" t="s">
        <v>103</v>
      </c>
      <c r="J29" s="1" t="s">
        <v>296</v>
      </c>
    </row>
    <row r="30" spans="1:10" x14ac:dyDescent="0.25">
      <c r="A30" s="1" t="s">
        <v>104</v>
      </c>
      <c r="B30" s="1" t="s">
        <v>21</v>
      </c>
      <c r="C30" s="1" t="s">
        <v>21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105</v>
      </c>
      <c r="I30" s="1" t="s">
        <v>81</v>
      </c>
      <c r="J30" s="1" t="s">
        <v>296</v>
      </c>
    </row>
    <row r="31" spans="1:10" x14ac:dyDescent="0.25">
      <c r="A31" s="1" t="s">
        <v>106</v>
      </c>
      <c r="B31" s="1" t="s">
        <v>21</v>
      </c>
      <c r="C31" s="1" t="s">
        <v>21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107</v>
      </c>
      <c r="I31" s="1" t="s">
        <v>108</v>
      </c>
      <c r="J31" s="1" t="s">
        <v>296</v>
      </c>
    </row>
    <row r="32" spans="1:10" x14ac:dyDescent="0.25">
      <c r="A32" s="1" t="s">
        <v>109</v>
      </c>
      <c r="B32" s="1" t="s">
        <v>21</v>
      </c>
      <c r="C32" s="1" t="s">
        <v>21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110</v>
      </c>
      <c r="I32" s="1" t="s">
        <v>111</v>
      </c>
      <c r="J32" s="1" t="s">
        <v>296</v>
      </c>
    </row>
    <row r="33" spans="1:10" x14ac:dyDescent="0.25">
      <c r="A33" s="1" t="s">
        <v>112</v>
      </c>
      <c r="B33" s="1" t="s">
        <v>21</v>
      </c>
      <c r="C33" s="1" t="s">
        <v>21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113</v>
      </c>
      <c r="I33" s="1" t="s">
        <v>58</v>
      </c>
      <c r="J33" s="1" t="s">
        <v>296</v>
      </c>
    </row>
    <row r="34" spans="1:10" x14ac:dyDescent="0.25">
      <c r="A34" s="1" t="s">
        <v>114</v>
      </c>
      <c r="B34" s="1" t="s">
        <v>21</v>
      </c>
      <c r="C34" s="1" t="s">
        <v>21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115</v>
      </c>
      <c r="I34" s="1" t="s">
        <v>116</v>
      </c>
      <c r="J34" s="1" t="s">
        <v>296</v>
      </c>
    </row>
    <row r="35" spans="1:10" x14ac:dyDescent="0.25">
      <c r="A35" s="1" t="s">
        <v>117</v>
      </c>
      <c r="B35" s="1" t="s">
        <v>21</v>
      </c>
      <c r="C35" s="1" t="s">
        <v>21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118</v>
      </c>
      <c r="I35" s="1" t="s">
        <v>119</v>
      </c>
      <c r="J35" s="1" t="s">
        <v>296</v>
      </c>
    </row>
    <row r="36" spans="1:10" x14ac:dyDescent="0.25">
      <c r="A36" s="1" t="s">
        <v>120</v>
      </c>
      <c r="B36" s="1" t="s">
        <v>21</v>
      </c>
      <c r="C36" s="1" t="s">
        <v>21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121</v>
      </c>
      <c r="I36" s="1" t="s">
        <v>122</v>
      </c>
      <c r="J36" s="1" t="s">
        <v>296</v>
      </c>
    </row>
    <row r="37" spans="1:10" x14ac:dyDescent="0.25">
      <c r="A37" s="1" t="s">
        <v>123</v>
      </c>
      <c r="B37" s="1" t="s">
        <v>21</v>
      </c>
      <c r="C37" s="1" t="s">
        <v>21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124</v>
      </c>
      <c r="I37" s="1" t="s">
        <v>125</v>
      </c>
      <c r="J37" s="1" t="s">
        <v>296</v>
      </c>
    </row>
    <row r="38" spans="1:10" x14ac:dyDescent="0.25">
      <c r="A38" s="1" t="s">
        <v>126</v>
      </c>
      <c r="B38" s="1" t="s">
        <v>21</v>
      </c>
      <c r="C38" s="1" t="s">
        <v>21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127</v>
      </c>
      <c r="I38" s="1" t="s">
        <v>128</v>
      </c>
      <c r="J38" s="1" t="s">
        <v>296</v>
      </c>
    </row>
    <row r="39" spans="1:10" x14ac:dyDescent="0.25">
      <c r="A39" s="1" t="s">
        <v>129</v>
      </c>
      <c r="B39" s="1" t="s">
        <v>21</v>
      </c>
      <c r="C39" s="1" t="s">
        <v>21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130</v>
      </c>
      <c r="I39" s="1" t="s">
        <v>131</v>
      </c>
      <c r="J39" s="1" t="s">
        <v>296</v>
      </c>
    </row>
    <row r="40" spans="1:10" x14ac:dyDescent="0.25">
      <c r="A40" s="1" t="s">
        <v>132</v>
      </c>
      <c r="B40" s="1" t="s">
        <v>21</v>
      </c>
      <c r="C40" s="1" t="s">
        <v>21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133</v>
      </c>
      <c r="I40" s="1" t="s">
        <v>134</v>
      </c>
      <c r="J40" s="1" t="s">
        <v>296</v>
      </c>
    </row>
    <row r="41" spans="1:10" x14ac:dyDescent="0.25">
      <c r="A41" s="1" t="s">
        <v>135</v>
      </c>
      <c r="B41" s="1" t="s">
        <v>21</v>
      </c>
      <c r="C41" s="1" t="s">
        <v>21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136</v>
      </c>
      <c r="I41" s="1" t="s">
        <v>137</v>
      </c>
      <c r="J41" s="1" t="s">
        <v>296</v>
      </c>
    </row>
    <row r="42" spans="1:10" x14ac:dyDescent="0.25">
      <c r="A42" s="1" t="s">
        <v>138</v>
      </c>
      <c r="B42" s="1" t="s">
        <v>21</v>
      </c>
      <c r="C42" s="1" t="s">
        <v>21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139</v>
      </c>
      <c r="I42" s="1" t="s">
        <v>140</v>
      </c>
      <c r="J42" s="1" t="s">
        <v>296</v>
      </c>
    </row>
    <row r="43" spans="1:10" x14ac:dyDescent="0.25">
      <c r="A43" s="1" t="s">
        <v>141</v>
      </c>
      <c r="B43" s="1" t="s">
        <v>21</v>
      </c>
      <c r="C43" s="1" t="s">
        <v>21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142</v>
      </c>
      <c r="I43" s="1" t="s">
        <v>143</v>
      </c>
      <c r="J43" s="1" t="s">
        <v>296</v>
      </c>
    </row>
    <row r="44" spans="1:10" x14ac:dyDescent="0.25">
      <c r="A44" s="1" t="s">
        <v>144</v>
      </c>
      <c r="B44" s="1" t="s">
        <v>21</v>
      </c>
      <c r="C44" s="1" t="s">
        <v>21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145</v>
      </c>
      <c r="I44" s="1" t="s">
        <v>146</v>
      </c>
      <c r="J44" s="1" t="s">
        <v>296</v>
      </c>
    </row>
    <row r="45" spans="1:10" x14ac:dyDescent="0.25">
      <c r="A45" s="1" t="s">
        <v>147</v>
      </c>
      <c r="B45" s="1" t="s">
        <v>21</v>
      </c>
      <c r="C45" s="1" t="s">
        <v>21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148</v>
      </c>
      <c r="I45" s="1" t="s">
        <v>149</v>
      </c>
      <c r="J45" s="1" t="s">
        <v>296</v>
      </c>
    </row>
    <row r="46" spans="1:10" x14ac:dyDescent="0.25">
      <c r="A46" s="1" t="s">
        <v>150</v>
      </c>
      <c r="B46" s="1" t="s">
        <v>21</v>
      </c>
      <c r="C46" s="1" t="s">
        <v>21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146</v>
      </c>
      <c r="I46" s="1" t="s">
        <v>151</v>
      </c>
      <c r="J46" s="1" t="s">
        <v>296</v>
      </c>
    </row>
    <row r="47" spans="1:10" x14ac:dyDescent="0.25">
      <c r="A47" s="1" t="s">
        <v>152</v>
      </c>
      <c r="B47" s="1" t="s">
        <v>36</v>
      </c>
      <c r="C47" s="1" t="s">
        <v>36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153</v>
      </c>
      <c r="I47" s="1" t="s">
        <v>154</v>
      </c>
      <c r="J47" s="1" t="s">
        <v>296</v>
      </c>
    </row>
    <row r="48" spans="1:10" x14ac:dyDescent="0.25">
      <c r="A48" s="1" t="s">
        <v>155</v>
      </c>
      <c r="B48" s="1" t="s">
        <v>36</v>
      </c>
      <c r="C48" s="1" t="s">
        <v>21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156</v>
      </c>
      <c r="I48" s="1" t="s">
        <v>157</v>
      </c>
      <c r="J48" s="1" t="s">
        <v>296</v>
      </c>
    </row>
    <row r="49" spans="1:10" x14ac:dyDescent="0.25">
      <c r="A49" s="1" t="s">
        <v>158</v>
      </c>
      <c r="B49" s="1" t="s">
        <v>36</v>
      </c>
      <c r="C49" s="1" t="s">
        <v>21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159</v>
      </c>
      <c r="I49" s="1" t="s">
        <v>160</v>
      </c>
      <c r="J49" s="1" t="s">
        <v>296</v>
      </c>
    </row>
    <row r="50" spans="1:10" x14ac:dyDescent="0.25">
      <c r="A50" s="1" t="s">
        <v>161</v>
      </c>
      <c r="B50" s="1" t="s">
        <v>36</v>
      </c>
      <c r="C50" s="1" t="s">
        <v>21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162</v>
      </c>
      <c r="I50" s="1" t="s">
        <v>163</v>
      </c>
      <c r="J50" s="1" t="s">
        <v>296</v>
      </c>
    </row>
    <row r="51" spans="1:10" x14ac:dyDescent="0.25">
      <c r="A51" s="1" t="s">
        <v>164</v>
      </c>
      <c r="B51" s="1" t="s">
        <v>36</v>
      </c>
      <c r="C51" s="1" t="s">
        <v>36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165</v>
      </c>
      <c r="I51" s="1" t="s">
        <v>166</v>
      </c>
      <c r="J51" s="1" t="s">
        <v>296</v>
      </c>
    </row>
    <row r="52" spans="1:10" x14ac:dyDescent="0.25">
      <c r="A52" s="1" t="s">
        <v>167</v>
      </c>
      <c r="B52" s="1" t="s">
        <v>36</v>
      </c>
      <c r="C52" s="1" t="s">
        <v>21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168</v>
      </c>
      <c r="I52" s="1" t="s">
        <v>169</v>
      </c>
      <c r="J52" s="1" t="s">
        <v>296</v>
      </c>
    </row>
    <row r="53" spans="1:10" x14ac:dyDescent="0.25">
      <c r="A53" s="1" t="s">
        <v>170</v>
      </c>
      <c r="B53" s="1" t="s">
        <v>36</v>
      </c>
      <c r="C53" s="1" t="s">
        <v>21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171</v>
      </c>
      <c r="I53" s="1" t="s">
        <v>172</v>
      </c>
      <c r="J53" s="1" t="s">
        <v>296</v>
      </c>
    </row>
    <row r="54" spans="1:10" x14ac:dyDescent="0.25">
      <c r="A54" s="1" t="s">
        <v>173</v>
      </c>
      <c r="B54" s="1" t="s">
        <v>36</v>
      </c>
      <c r="C54" s="1" t="s">
        <v>36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174</v>
      </c>
      <c r="I54" s="1" t="s">
        <v>175</v>
      </c>
      <c r="J54" s="1" t="s">
        <v>296</v>
      </c>
    </row>
    <row r="55" spans="1:10" x14ac:dyDescent="0.25">
      <c r="A55" s="1" t="s">
        <v>176</v>
      </c>
      <c r="B55" s="1" t="s">
        <v>36</v>
      </c>
      <c r="C55" s="1" t="s">
        <v>21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177</v>
      </c>
      <c r="I55" s="1" t="s">
        <v>178</v>
      </c>
      <c r="J55" s="1" t="s">
        <v>296</v>
      </c>
    </row>
    <row r="56" spans="1:10" x14ac:dyDescent="0.25">
      <c r="A56" s="1" t="s">
        <v>179</v>
      </c>
      <c r="B56" s="1" t="s">
        <v>36</v>
      </c>
      <c r="C56" s="1" t="s">
        <v>21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180</v>
      </c>
      <c r="I56" s="1" t="s">
        <v>181</v>
      </c>
      <c r="J56" s="1" t="s">
        <v>296</v>
      </c>
    </row>
    <row r="57" spans="1:10" x14ac:dyDescent="0.25">
      <c r="A57" s="1" t="s">
        <v>182</v>
      </c>
      <c r="B57" s="1" t="s">
        <v>36</v>
      </c>
      <c r="C57" s="1" t="s">
        <v>21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183</v>
      </c>
      <c r="I57" s="1" t="s">
        <v>184</v>
      </c>
      <c r="J57" s="1" t="s">
        <v>296</v>
      </c>
    </row>
    <row r="58" spans="1:10" x14ac:dyDescent="0.25">
      <c r="A58" s="1" t="s">
        <v>185</v>
      </c>
      <c r="B58" s="1" t="s">
        <v>36</v>
      </c>
      <c r="C58" s="1" t="s">
        <v>21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113</v>
      </c>
      <c r="I58" s="1" t="s">
        <v>186</v>
      </c>
      <c r="J58" s="1" t="s">
        <v>296</v>
      </c>
    </row>
    <row r="59" spans="1:10" x14ac:dyDescent="0.25">
      <c r="A59" s="1" t="s">
        <v>187</v>
      </c>
      <c r="B59" s="1" t="s">
        <v>36</v>
      </c>
      <c r="C59" s="1" t="s">
        <v>36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188</v>
      </c>
      <c r="I59" s="1" t="s">
        <v>189</v>
      </c>
      <c r="J59" s="1" t="s">
        <v>296</v>
      </c>
    </row>
    <row r="60" spans="1:10" x14ac:dyDescent="0.25">
      <c r="A60" s="1" t="s">
        <v>190</v>
      </c>
      <c r="B60" s="1" t="s">
        <v>36</v>
      </c>
      <c r="C60" s="1" t="s">
        <v>36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191</v>
      </c>
      <c r="I60" s="1" t="s">
        <v>192</v>
      </c>
      <c r="J60" s="1" t="s">
        <v>296</v>
      </c>
    </row>
    <row r="61" spans="1:10" x14ac:dyDescent="0.25">
      <c r="A61" s="1" t="s">
        <v>193</v>
      </c>
      <c r="B61" s="1" t="s">
        <v>36</v>
      </c>
      <c r="C61" s="1" t="s">
        <v>21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194</v>
      </c>
      <c r="I61" s="1" t="s">
        <v>195</v>
      </c>
      <c r="J61" s="1" t="s">
        <v>296</v>
      </c>
    </row>
    <row r="62" spans="1:10" x14ac:dyDescent="0.25">
      <c r="A62" s="1" t="s">
        <v>196</v>
      </c>
      <c r="B62" s="1" t="s">
        <v>36</v>
      </c>
      <c r="C62" s="1" t="s">
        <v>21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197</v>
      </c>
      <c r="I62" s="1" t="s">
        <v>198</v>
      </c>
      <c r="J62" s="1" t="s">
        <v>296</v>
      </c>
    </row>
    <row r="63" spans="1:10" x14ac:dyDescent="0.25">
      <c r="A63" s="1" t="s">
        <v>199</v>
      </c>
      <c r="B63" s="1" t="s">
        <v>36</v>
      </c>
      <c r="C63" s="1" t="s">
        <v>36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200</v>
      </c>
      <c r="I63" s="1" t="s">
        <v>201</v>
      </c>
      <c r="J63" s="1" t="s">
        <v>296</v>
      </c>
    </row>
    <row r="64" spans="1:10" x14ac:dyDescent="0.25">
      <c r="A64" s="1" t="s">
        <v>202</v>
      </c>
      <c r="B64" s="1" t="s">
        <v>36</v>
      </c>
      <c r="C64" s="1" t="s">
        <v>36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203</v>
      </c>
      <c r="I64" s="1" t="s">
        <v>204</v>
      </c>
      <c r="J64" s="1" t="s">
        <v>296</v>
      </c>
    </row>
    <row r="65" spans="1:10" x14ac:dyDescent="0.25">
      <c r="A65" s="1" t="s">
        <v>205</v>
      </c>
      <c r="B65" s="1" t="s">
        <v>36</v>
      </c>
      <c r="C65" s="1" t="s">
        <v>21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195</v>
      </c>
      <c r="I65" s="1" t="s">
        <v>206</v>
      </c>
      <c r="J65" s="1" t="s">
        <v>296</v>
      </c>
    </row>
    <row r="66" spans="1:10" x14ac:dyDescent="0.25">
      <c r="A66" s="1" t="s">
        <v>207</v>
      </c>
      <c r="B66" s="1" t="s">
        <v>36</v>
      </c>
      <c r="C66" s="1" t="s">
        <v>36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208</v>
      </c>
      <c r="I66" s="1" t="s">
        <v>209</v>
      </c>
      <c r="J66" s="1" t="s">
        <v>296</v>
      </c>
    </row>
    <row r="67" spans="1:10" x14ac:dyDescent="0.25">
      <c r="A67" s="1" t="s">
        <v>210</v>
      </c>
      <c r="B67" s="1" t="s">
        <v>36</v>
      </c>
      <c r="C67" s="1" t="s">
        <v>21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211</v>
      </c>
      <c r="I67" s="1" t="s">
        <v>212</v>
      </c>
      <c r="J67" s="1" t="s">
        <v>296</v>
      </c>
    </row>
    <row r="68" spans="1:10" x14ac:dyDescent="0.25">
      <c r="A68" s="1" t="s">
        <v>213</v>
      </c>
      <c r="B68" s="1" t="s">
        <v>36</v>
      </c>
      <c r="C68" s="1" t="s">
        <v>21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214</v>
      </c>
      <c r="I68" s="1" t="s">
        <v>215</v>
      </c>
      <c r="J68" s="1" t="s">
        <v>296</v>
      </c>
    </row>
    <row r="69" spans="1:10" x14ac:dyDescent="0.25">
      <c r="A69" s="1" t="s">
        <v>216</v>
      </c>
      <c r="B69" s="1" t="s">
        <v>36</v>
      </c>
      <c r="C69" s="1" t="s">
        <v>21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217</v>
      </c>
      <c r="I69" s="1" t="s">
        <v>218</v>
      </c>
      <c r="J69" s="1" t="s">
        <v>296</v>
      </c>
    </row>
    <row r="70" spans="1:10" x14ac:dyDescent="0.25">
      <c r="A70" s="1" t="s">
        <v>219</v>
      </c>
      <c r="B70" s="1" t="s">
        <v>36</v>
      </c>
      <c r="C70" s="1" t="s">
        <v>36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220</v>
      </c>
      <c r="I70" s="1" t="s">
        <v>221</v>
      </c>
      <c r="J70" s="1" t="s">
        <v>296</v>
      </c>
    </row>
    <row r="71" spans="1:10" x14ac:dyDescent="0.25">
      <c r="A71" s="1" t="s">
        <v>222</v>
      </c>
      <c r="B71" s="1" t="s">
        <v>36</v>
      </c>
      <c r="C71" s="1" t="s">
        <v>36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223</v>
      </c>
      <c r="I71" s="1" t="s">
        <v>224</v>
      </c>
      <c r="J71" s="1" t="s">
        <v>296</v>
      </c>
    </row>
    <row r="72" spans="1:10" x14ac:dyDescent="0.25">
      <c r="A72" s="1" t="s">
        <v>225</v>
      </c>
      <c r="B72" s="1" t="s">
        <v>36</v>
      </c>
      <c r="C72" s="1" t="s">
        <v>36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226</v>
      </c>
      <c r="I72" s="1" t="s">
        <v>227</v>
      </c>
      <c r="J72" s="1" t="s">
        <v>296</v>
      </c>
    </row>
    <row r="73" spans="1:10" x14ac:dyDescent="0.25">
      <c r="A73" s="1" t="s">
        <v>228</v>
      </c>
      <c r="B73" s="1" t="s">
        <v>36</v>
      </c>
      <c r="C73" s="1" t="s">
        <v>21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229</v>
      </c>
      <c r="I73" s="1" t="s">
        <v>230</v>
      </c>
      <c r="J73" s="1" t="s">
        <v>296</v>
      </c>
    </row>
    <row r="74" spans="1:10" x14ac:dyDescent="0.25">
      <c r="A74" s="1" t="s">
        <v>231</v>
      </c>
      <c r="B74" s="1" t="s">
        <v>36</v>
      </c>
      <c r="C74" s="1" t="s">
        <v>36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232</v>
      </c>
      <c r="I74" s="1" t="s">
        <v>233</v>
      </c>
      <c r="J74" s="1" t="s">
        <v>296</v>
      </c>
    </row>
    <row r="75" spans="1:10" x14ac:dyDescent="0.25">
      <c r="A75" s="1" t="s">
        <v>234</v>
      </c>
      <c r="B75" s="1" t="s">
        <v>36</v>
      </c>
      <c r="C75" s="1" t="s">
        <v>21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235</v>
      </c>
      <c r="I75" s="1" t="s">
        <v>236</v>
      </c>
      <c r="J75" s="1" t="s">
        <v>296</v>
      </c>
    </row>
    <row r="76" spans="1:10" x14ac:dyDescent="0.25">
      <c r="A76" s="1" t="s">
        <v>237</v>
      </c>
      <c r="B76" s="1" t="s">
        <v>36</v>
      </c>
      <c r="C76" s="1" t="s">
        <v>36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238</v>
      </c>
      <c r="I76" s="1" t="s">
        <v>239</v>
      </c>
      <c r="J76" s="1" t="s">
        <v>296</v>
      </c>
    </row>
    <row r="77" spans="1:10" x14ac:dyDescent="0.25">
      <c r="A77" s="1" t="s">
        <v>240</v>
      </c>
      <c r="B77" s="1" t="s">
        <v>36</v>
      </c>
      <c r="C77" s="1" t="s">
        <v>36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241</v>
      </c>
      <c r="I77" s="1" t="s">
        <v>242</v>
      </c>
      <c r="J77" s="1" t="s">
        <v>296</v>
      </c>
    </row>
    <row r="78" spans="1:10" x14ac:dyDescent="0.25">
      <c r="A78" s="1" t="s">
        <v>243</v>
      </c>
      <c r="B78" s="1" t="s">
        <v>36</v>
      </c>
      <c r="C78" s="1" t="s">
        <v>21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244</v>
      </c>
      <c r="I78" s="1" t="s">
        <v>245</v>
      </c>
      <c r="J78" s="1" t="s">
        <v>296</v>
      </c>
    </row>
    <row r="79" spans="1:10" x14ac:dyDescent="0.25">
      <c r="A79" s="1" t="s">
        <v>246</v>
      </c>
      <c r="B79" s="1" t="s">
        <v>36</v>
      </c>
      <c r="C79" s="1" t="s">
        <v>36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247</v>
      </c>
      <c r="I79" s="1" t="s">
        <v>248</v>
      </c>
      <c r="J79" s="1" t="s">
        <v>296</v>
      </c>
    </row>
    <row r="80" spans="1:10" x14ac:dyDescent="0.25">
      <c r="A80" s="1" t="s">
        <v>249</v>
      </c>
      <c r="B80" s="1" t="s">
        <v>36</v>
      </c>
      <c r="C80" s="1" t="s">
        <v>21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250</v>
      </c>
      <c r="I80" s="1" t="s">
        <v>251</v>
      </c>
      <c r="J80" s="1" t="s">
        <v>296</v>
      </c>
    </row>
    <row r="81" spans="1:10" x14ac:dyDescent="0.25">
      <c r="A81" s="1" t="s">
        <v>252</v>
      </c>
      <c r="B81" s="1" t="s">
        <v>36</v>
      </c>
      <c r="C81" s="1" t="s">
        <v>21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253</v>
      </c>
      <c r="I81" s="1" t="s">
        <v>254</v>
      </c>
      <c r="J81" s="1" t="s">
        <v>296</v>
      </c>
    </row>
    <row r="82" spans="1:10" x14ac:dyDescent="0.25">
      <c r="A82" s="1" t="s">
        <v>255</v>
      </c>
      <c r="B82" s="1" t="s">
        <v>36</v>
      </c>
      <c r="C82" s="1" t="s">
        <v>36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256</v>
      </c>
      <c r="I82" s="1" t="s">
        <v>257</v>
      </c>
      <c r="J82" s="1" t="s">
        <v>296</v>
      </c>
    </row>
    <row r="83" spans="1:10" x14ac:dyDescent="0.25">
      <c r="A83" s="1" t="s">
        <v>258</v>
      </c>
      <c r="B83" s="1" t="s">
        <v>36</v>
      </c>
      <c r="C83" s="1" t="s">
        <v>21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259</v>
      </c>
      <c r="I83" s="1" t="s">
        <v>260</v>
      </c>
      <c r="J83" s="1" t="s">
        <v>296</v>
      </c>
    </row>
    <row r="84" spans="1:10" x14ac:dyDescent="0.25">
      <c r="A84" s="1" t="s">
        <v>261</v>
      </c>
      <c r="B84" s="1" t="s">
        <v>36</v>
      </c>
      <c r="C84" s="1" t="s">
        <v>21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262</v>
      </c>
      <c r="I84" s="1" t="s">
        <v>263</v>
      </c>
      <c r="J84" s="1" t="s">
        <v>296</v>
      </c>
    </row>
    <row r="85" spans="1:10" x14ac:dyDescent="0.25">
      <c r="A85" s="1" t="s">
        <v>264</v>
      </c>
      <c r="B85" s="1" t="s">
        <v>36</v>
      </c>
      <c r="C85" s="1" t="s">
        <v>36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265</v>
      </c>
      <c r="I85" s="1" t="s">
        <v>266</v>
      </c>
      <c r="J85" s="1" t="s">
        <v>296</v>
      </c>
    </row>
    <row r="86" spans="1:10" x14ac:dyDescent="0.25">
      <c r="A86" s="1" t="s">
        <v>267</v>
      </c>
      <c r="B86" s="1" t="s">
        <v>36</v>
      </c>
      <c r="C86" s="1" t="s">
        <v>21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268</v>
      </c>
      <c r="I86" s="1" t="s">
        <v>91</v>
      </c>
      <c r="J86" s="1" t="s">
        <v>296</v>
      </c>
    </row>
    <row r="87" spans="1:10" x14ac:dyDescent="0.25">
      <c r="A87" s="1" t="s">
        <v>269</v>
      </c>
      <c r="B87" s="1" t="s">
        <v>36</v>
      </c>
      <c r="C87" s="1" t="s">
        <v>21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270</v>
      </c>
      <c r="I87" s="1" t="s">
        <v>271</v>
      </c>
      <c r="J87" s="1" t="s">
        <v>296</v>
      </c>
    </row>
    <row r="88" spans="1:10" x14ac:dyDescent="0.25">
      <c r="A88" s="1" t="s">
        <v>272</v>
      </c>
      <c r="B88" s="1" t="s">
        <v>36</v>
      </c>
      <c r="C88" s="1" t="s">
        <v>36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273</v>
      </c>
      <c r="I88" s="1" t="s">
        <v>274</v>
      </c>
      <c r="J88" s="1" t="s">
        <v>296</v>
      </c>
    </row>
    <row r="89" spans="1:10" x14ac:dyDescent="0.25">
      <c r="A89" s="1" t="s">
        <v>275</v>
      </c>
      <c r="B89" s="1" t="s">
        <v>36</v>
      </c>
      <c r="C89" s="1" t="s">
        <v>36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276</v>
      </c>
      <c r="I89" s="1" t="s">
        <v>277</v>
      </c>
      <c r="J89" s="1" t="s">
        <v>296</v>
      </c>
    </row>
    <row r="90" spans="1:10" x14ac:dyDescent="0.25">
      <c r="A90" s="1" t="s">
        <v>278</v>
      </c>
      <c r="B90" s="1" t="s">
        <v>36</v>
      </c>
      <c r="C90" s="1" t="s">
        <v>21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191</v>
      </c>
      <c r="I90" s="1" t="s">
        <v>279</v>
      </c>
      <c r="J90" s="1" t="s">
        <v>296</v>
      </c>
    </row>
    <row r="91" spans="1:10" x14ac:dyDescent="0.25">
      <c r="A91" s="1" t="s">
        <v>280</v>
      </c>
      <c r="B91" s="1" t="s">
        <v>36</v>
      </c>
      <c r="C91" s="1" t="s">
        <v>36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281</v>
      </c>
      <c r="I91" s="1" t="s">
        <v>282</v>
      </c>
      <c r="J91" s="1" t="s">
        <v>296</v>
      </c>
    </row>
    <row r="92" spans="1:10" x14ac:dyDescent="0.25">
      <c r="A92" s="1" t="s">
        <v>283</v>
      </c>
      <c r="B92" s="1" t="s">
        <v>36</v>
      </c>
      <c r="C92" s="1" t="s">
        <v>36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297</v>
      </c>
      <c r="I92" s="1" t="s">
        <v>298</v>
      </c>
      <c r="J92" s="1" t="s">
        <v>296</v>
      </c>
    </row>
    <row r="93" spans="1:10" x14ac:dyDescent="0.25">
      <c r="A93" s="1" t="s">
        <v>286</v>
      </c>
      <c r="B93" s="1" t="s">
        <v>36</v>
      </c>
      <c r="C93" s="1" t="s">
        <v>36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299</v>
      </c>
      <c r="I93" s="1" t="s">
        <v>300</v>
      </c>
      <c r="J93" s="1" t="s">
        <v>296</v>
      </c>
    </row>
    <row r="94" spans="1:10" x14ac:dyDescent="0.25">
      <c r="A94" s="1" t="s">
        <v>289</v>
      </c>
      <c r="B94" s="1" t="s">
        <v>36</v>
      </c>
      <c r="C94" s="1" t="s">
        <v>21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301</v>
      </c>
      <c r="I94" s="1" t="s">
        <v>302</v>
      </c>
      <c r="J94" s="1" t="s">
        <v>296</v>
      </c>
    </row>
    <row r="95" spans="1:10" x14ac:dyDescent="0.25">
      <c r="A95" s="1" t="s">
        <v>292</v>
      </c>
      <c r="B95" s="1" t="s">
        <v>36</v>
      </c>
      <c r="C95" s="1" t="s">
        <v>36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156</v>
      </c>
      <c r="I95" s="1" t="s">
        <v>303</v>
      </c>
      <c r="J95" s="1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6FA-B0D1-4B1F-85E2-241933EB4771}">
  <dimension ref="A1:O9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36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304</v>
      </c>
      <c r="N2">
        <f>COUNTIFS(B:B, "CLOSED", C:C, "CLOSED")</f>
        <v>44</v>
      </c>
      <c r="O2">
        <f>COUNTIFS(B:B, "OPEN", C:C, "OPEN")</f>
        <v>35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23</v>
      </c>
      <c r="I3" s="1" t="s">
        <v>24</v>
      </c>
      <c r="J3" s="1" t="s">
        <v>295</v>
      </c>
      <c r="M3" s="2" t="s">
        <v>305</v>
      </c>
      <c r="N3">
        <f>COUNTIFS(B:B, "CLOSED")</f>
        <v>44</v>
      </c>
      <c r="O3">
        <f>COUNTIFS(B:B, "OPEN")</f>
        <v>49</v>
      </c>
    </row>
    <row r="4" spans="1:15" x14ac:dyDescent="0.25">
      <c r="A4" s="1" t="s">
        <v>26</v>
      </c>
      <c r="B4" s="1" t="s">
        <v>21</v>
      </c>
      <c r="C4" s="1" t="s">
        <v>21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27</v>
      </c>
      <c r="I4" s="1" t="s">
        <v>28</v>
      </c>
      <c r="J4" s="1" t="s">
        <v>295</v>
      </c>
      <c r="M4" s="2" t="s">
        <v>306</v>
      </c>
      <c r="N4">
        <f>N2/N3</f>
        <v>1</v>
      </c>
      <c r="O4">
        <f>O2/O3</f>
        <v>0.7142857142857143</v>
      </c>
    </row>
    <row r="5" spans="1:15" x14ac:dyDescent="0.25">
      <c r="A5" s="1" t="s">
        <v>29</v>
      </c>
      <c r="B5" s="1" t="s">
        <v>21</v>
      </c>
      <c r="C5" s="1" t="s">
        <v>21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30</v>
      </c>
      <c r="I5" s="1" t="s">
        <v>31</v>
      </c>
      <c r="J5" s="1" t="s">
        <v>295</v>
      </c>
    </row>
    <row r="6" spans="1:15" x14ac:dyDescent="0.25">
      <c r="A6" s="1" t="s">
        <v>32</v>
      </c>
      <c r="B6" s="1" t="s">
        <v>21</v>
      </c>
      <c r="C6" s="1" t="s">
        <v>21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33</v>
      </c>
      <c r="I6" s="1" t="s">
        <v>34</v>
      </c>
      <c r="J6" s="1" t="s">
        <v>295</v>
      </c>
    </row>
    <row r="7" spans="1:15" x14ac:dyDescent="0.25">
      <c r="A7" s="1" t="s">
        <v>35</v>
      </c>
      <c r="B7" s="1" t="s">
        <v>21</v>
      </c>
      <c r="C7" s="1" t="s">
        <v>21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37</v>
      </c>
      <c r="I7" s="1" t="s">
        <v>38</v>
      </c>
      <c r="J7" s="1" t="s">
        <v>295</v>
      </c>
    </row>
    <row r="8" spans="1:15" x14ac:dyDescent="0.25">
      <c r="A8" s="1" t="s">
        <v>39</v>
      </c>
      <c r="B8" s="1" t="s">
        <v>21</v>
      </c>
      <c r="C8" s="1" t="s">
        <v>21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40</v>
      </c>
      <c r="I8" s="1" t="s">
        <v>41</v>
      </c>
      <c r="J8" s="1" t="s">
        <v>295</v>
      </c>
    </row>
    <row r="9" spans="1:15" x14ac:dyDescent="0.25">
      <c r="A9" s="1" t="s">
        <v>42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23</v>
      </c>
      <c r="I9" s="1" t="s">
        <v>43</v>
      </c>
      <c r="J9" s="1" t="s">
        <v>295</v>
      </c>
    </row>
    <row r="10" spans="1:15" x14ac:dyDescent="0.25">
      <c r="A10" s="1" t="s">
        <v>44</v>
      </c>
      <c r="B10" s="1" t="s">
        <v>21</v>
      </c>
      <c r="C10" s="1" t="s">
        <v>21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45</v>
      </c>
      <c r="I10" s="1" t="s">
        <v>46</v>
      </c>
      <c r="J10" s="1" t="s">
        <v>295</v>
      </c>
    </row>
    <row r="11" spans="1:15" x14ac:dyDescent="0.25">
      <c r="A11" s="1" t="s">
        <v>47</v>
      </c>
      <c r="B11" s="1" t="s">
        <v>21</v>
      </c>
      <c r="C11" s="1" t="s">
        <v>21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48</v>
      </c>
      <c r="I11" s="1" t="s">
        <v>49</v>
      </c>
      <c r="J11" s="1" t="s">
        <v>295</v>
      </c>
    </row>
    <row r="12" spans="1:15" x14ac:dyDescent="0.25">
      <c r="A12" s="1" t="s">
        <v>50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51</v>
      </c>
      <c r="I12" s="1" t="s">
        <v>52</v>
      </c>
      <c r="J12" s="1" t="s">
        <v>295</v>
      </c>
    </row>
    <row r="13" spans="1:15" x14ac:dyDescent="0.25">
      <c r="A13" s="1" t="s">
        <v>53</v>
      </c>
      <c r="B13" s="1" t="s">
        <v>21</v>
      </c>
      <c r="C13" s="1" t="s">
        <v>21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54</v>
      </c>
      <c r="I13" s="1" t="s">
        <v>55</v>
      </c>
      <c r="J13" s="1" t="s">
        <v>295</v>
      </c>
    </row>
    <row r="14" spans="1:15" x14ac:dyDescent="0.25">
      <c r="A14" s="1" t="s">
        <v>56</v>
      </c>
      <c r="B14" s="1" t="s">
        <v>21</v>
      </c>
      <c r="C14" s="1" t="s">
        <v>21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57</v>
      </c>
      <c r="I14" s="1" t="s">
        <v>58</v>
      </c>
      <c r="J14" s="1" t="s">
        <v>295</v>
      </c>
    </row>
    <row r="15" spans="1:15" x14ac:dyDescent="0.25">
      <c r="A15" s="1" t="s">
        <v>59</v>
      </c>
      <c r="B15" s="1" t="s">
        <v>21</v>
      </c>
      <c r="C15" s="1" t="s">
        <v>21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60</v>
      </c>
      <c r="I15" s="1" t="s">
        <v>61</v>
      </c>
      <c r="J15" s="1" t="s">
        <v>295</v>
      </c>
    </row>
    <row r="16" spans="1:15" x14ac:dyDescent="0.25">
      <c r="A16" s="1" t="s">
        <v>62</v>
      </c>
      <c r="B16" s="1" t="s">
        <v>21</v>
      </c>
      <c r="C16" s="1" t="s">
        <v>21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63</v>
      </c>
      <c r="I16" s="1" t="s">
        <v>64</v>
      </c>
      <c r="J16" s="1" t="s">
        <v>295</v>
      </c>
    </row>
    <row r="17" spans="1:10" x14ac:dyDescent="0.25">
      <c r="A17" s="1" t="s">
        <v>65</v>
      </c>
      <c r="B17" s="1" t="s">
        <v>21</v>
      </c>
      <c r="C17" s="1" t="s">
        <v>21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66</v>
      </c>
      <c r="I17" s="1" t="s">
        <v>67</v>
      </c>
      <c r="J17" s="1" t="s">
        <v>295</v>
      </c>
    </row>
    <row r="18" spans="1:10" x14ac:dyDescent="0.25">
      <c r="A18" s="1" t="s">
        <v>68</v>
      </c>
      <c r="B18" s="1" t="s">
        <v>21</v>
      </c>
      <c r="C18" s="1" t="s">
        <v>21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69</v>
      </c>
      <c r="I18" s="1" t="s">
        <v>70</v>
      </c>
      <c r="J18" s="1" t="s">
        <v>295</v>
      </c>
    </row>
    <row r="19" spans="1:10" x14ac:dyDescent="0.25">
      <c r="A19" s="1" t="s">
        <v>71</v>
      </c>
      <c r="B19" s="1" t="s">
        <v>21</v>
      </c>
      <c r="C19" s="1" t="s">
        <v>21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72</v>
      </c>
      <c r="I19" s="1" t="s">
        <v>73</v>
      </c>
      <c r="J19" s="1" t="s">
        <v>295</v>
      </c>
    </row>
    <row r="20" spans="1:10" x14ac:dyDescent="0.25">
      <c r="A20" s="1" t="s">
        <v>74</v>
      </c>
      <c r="B20" s="1" t="s">
        <v>21</v>
      </c>
      <c r="C20" s="1" t="s">
        <v>21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75</v>
      </c>
      <c r="I20" s="1" t="s">
        <v>76</v>
      </c>
      <c r="J20" s="1" t="s">
        <v>295</v>
      </c>
    </row>
    <row r="21" spans="1:10" x14ac:dyDescent="0.25">
      <c r="A21" s="1" t="s">
        <v>77</v>
      </c>
      <c r="B21" s="1" t="s">
        <v>21</v>
      </c>
      <c r="C21" s="1" t="s">
        <v>21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78</v>
      </c>
      <c r="I21" s="1" t="s">
        <v>79</v>
      </c>
      <c r="J21" s="1" t="s">
        <v>295</v>
      </c>
    </row>
    <row r="22" spans="1:10" x14ac:dyDescent="0.25">
      <c r="A22" s="1" t="s">
        <v>80</v>
      </c>
      <c r="B22" s="1" t="s">
        <v>21</v>
      </c>
      <c r="C22" s="1" t="s">
        <v>21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81</v>
      </c>
      <c r="I22" s="1" t="s">
        <v>82</v>
      </c>
      <c r="J22" s="1" t="s">
        <v>295</v>
      </c>
    </row>
    <row r="23" spans="1:10" x14ac:dyDescent="0.25">
      <c r="A23" s="1" t="s">
        <v>83</v>
      </c>
      <c r="B23" s="1" t="s">
        <v>21</v>
      </c>
      <c r="C23" s="1" t="s">
        <v>21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84</v>
      </c>
      <c r="I23" s="1" t="s">
        <v>85</v>
      </c>
      <c r="J23" s="1" t="s">
        <v>295</v>
      </c>
    </row>
    <row r="24" spans="1:10" x14ac:dyDescent="0.25">
      <c r="A24" s="1" t="s">
        <v>86</v>
      </c>
      <c r="B24" s="1" t="s">
        <v>21</v>
      </c>
      <c r="C24" s="1" t="s">
        <v>21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87</v>
      </c>
      <c r="I24" s="1" t="s">
        <v>88</v>
      </c>
      <c r="J24" s="1" t="s">
        <v>295</v>
      </c>
    </row>
    <row r="25" spans="1:10" x14ac:dyDescent="0.25">
      <c r="A25" s="1" t="s">
        <v>89</v>
      </c>
      <c r="B25" s="1" t="s">
        <v>21</v>
      </c>
      <c r="C25" s="1" t="s">
        <v>21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90</v>
      </c>
      <c r="I25" s="1" t="s">
        <v>91</v>
      </c>
      <c r="J25" s="1" t="s">
        <v>295</v>
      </c>
    </row>
    <row r="26" spans="1:10" x14ac:dyDescent="0.25">
      <c r="A26" s="1" t="s">
        <v>92</v>
      </c>
      <c r="B26" s="1" t="s">
        <v>21</v>
      </c>
      <c r="C26" s="1" t="s">
        <v>21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93</v>
      </c>
      <c r="I26" s="1" t="s">
        <v>94</v>
      </c>
      <c r="J26" s="1" t="s">
        <v>295</v>
      </c>
    </row>
    <row r="27" spans="1:10" x14ac:dyDescent="0.25">
      <c r="A27" s="1" t="s">
        <v>95</v>
      </c>
      <c r="B27" s="1" t="s">
        <v>21</v>
      </c>
      <c r="C27" s="1" t="s">
        <v>21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96</v>
      </c>
      <c r="I27" s="1" t="s">
        <v>97</v>
      </c>
      <c r="J27" s="1" t="s">
        <v>295</v>
      </c>
    </row>
    <row r="28" spans="1:10" x14ac:dyDescent="0.25">
      <c r="A28" s="1" t="s">
        <v>98</v>
      </c>
      <c r="B28" s="1" t="s">
        <v>21</v>
      </c>
      <c r="C28" s="1" t="s">
        <v>21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99</v>
      </c>
      <c r="I28" s="1" t="s">
        <v>100</v>
      </c>
      <c r="J28" s="1" t="s">
        <v>295</v>
      </c>
    </row>
    <row r="29" spans="1:10" x14ac:dyDescent="0.25">
      <c r="A29" s="1" t="s">
        <v>101</v>
      </c>
      <c r="B29" s="1" t="s">
        <v>21</v>
      </c>
      <c r="C29" s="1" t="s">
        <v>21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102</v>
      </c>
      <c r="I29" s="1" t="s">
        <v>103</v>
      </c>
      <c r="J29" s="1" t="s">
        <v>295</v>
      </c>
    </row>
    <row r="30" spans="1:10" x14ac:dyDescent="0.25">
      <c r="A30" s="1" t="s">
        <v>104</v>
      </c>
      <c r="B30" s="1" t="s">
        <v>21</v>
      </c>
      <c r="C30" s="1" t="s">
        <v>21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105</v>
      </c>
      <c r="I30" s="1" t="s">
        <v>81</v>
      </c>
      <c r="J30" s="1" t="s">
        <v>295</v>
      </c>
    </row>
    <row r="31" spans="1:10" x14ac:dyDescent="0.25">
      <c r="A31" s="1" t="s">
        <v>106</v>
      </c>
      <c r="B31" s="1" t="s">
        <v>21</v>
      </c>
      <c r="C31" s="1" t="s">
        <v>21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107</v>
      </c>
      <c r="I31" s="1" t="s">
        <v>108</v>
      </c>
      <c r="J31" s="1" t="s">
        <v>295</v>
      </c>
    </row>
    <row r="32" spans="1:10" x14ac:dyDescent="0.25">
      <c r="A32" s="1" t="s">
        <v>109</v>
      </c>
      <c r="B32" s="1" t="s">
        <v>21</v>
      </c>
      <c r="C32" s="1" t="s">
        <v>21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110</v>
      </c>
      <c r="I32" s="1" t="s">
        <v>111</v>
      </c>
      <c r="J32" s="1" t="s">
        <v>295</v>
      </c>
    </row>
    <row r="33" spans="1:10" x14ac:dyDescent="0.25">
      <c r="A33" s="1" t="s">
        <v>112</v>
      </c>
      <c r="B33" s="1" t="s">
        <v>21</v>
      </c>
      <c r="C33" s="1" t="s">
        <v>21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113</v>
      </c>
      <c r="I33" s="1" t="s">
        <v>58</v>
      </c>
      <c r="J33" s="1" t="s">
        <v>295</v>
      </c>
    </row>
    <row r="34" spans="1:10" x14ac:dyDescent="0.25">
      <c r="A34" s="1" t="s">
        <v>114</v>
      </c>
      <c r="B34" s="1" t="s">
        <v>21</v>
      </c>
      <c r="C34" s="1" t="s">
        <v>21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115</v>
      </c>
      <c r="I34" s="1" t="s">
        <v>116</v>
      </c>
      <c r="J34" s="1" t="s">
        <v>295</v>
      </c>
    </row>
    <row r="35" spans="1:10" x14ac:dyDescent="0.25">
      <c r="A35" s="1" t="s">
        <v>117</v>
      </c>
      <c r="B35" s="1" t="s">
        <v>21</v>
      </c>
      <c r="C35" s="1" t="s">
        <v>21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118</v>
      </c>
      <c r="I35" s="1" t="s">
        <v>119</v>
      </c>
      <c r="J35" s="1" t="s">
        <v>295</v>
      </c>
    </row>
    <row r="36" spans="1:10" x14ac:dyDescent="0.25">
      <c r="A36" s="1" t="s">
        <v>120</v>
      </c>
      <c r="B36" s="1" t="s">
        <v>21</v>
      </c>
      <c r="C36" s="1" t="s">
        <v>21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121</v>
      </c>
      <c r="I36" s="1" t="s">
        <v>122</v>
      </c>
      <c r="J36" s="1" t="s">
        <v>295</v>
      </c>
    </row>
    <row r="37" spans="1:10" x14ac:dyDescent="0.25">
      <c r="A37" s="1" t="s">
        <v>123</v>
      </c>
      <c r="B37" s="1" t="s">
        <v>21</v>
      </c>
      <c r="C37" s="1" t="s">
        <v>21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124</v>
      </c>
      <c r="I37" s="1" t="s">
        <v>125</v>
      </c>
      <c r="J37" s="1" t="s">
        <v>295</v>
      </c>
    </row>
    <row r="38" spans="1:10" x14ac:dyDescent="0.25">
      <c r="A38" s="1" t="s">
        <v>126</v>
      </c>
      <c r="B38" s="1" t="s">
        <v>21</v>
      </c>
      <c r="C38" s="1" t="s">
        <v>21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127</v>
      </c>
      <c r="I38" s="1" t="s">
        <v>128</v>
      </c>
      <c r="J38" s="1" t="s">
        <v>295</v>
      </c>
    </row>
    <row r="39" spans="1:10" x14ac:dyDescent="0.25">
      <c r="A39" s="1" t="s">
        <v>129</v>
      </c>
      <c r="B39" s="1" t="s">
        <v>21</v>
      </c>
      <c r="C39" s="1" t="s">
        <v>21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130</v>
      </c>
      <c r="I39" s="1" t="s">
        <v>131</v>
      </c>
      <c r="J39" s="1" t="s">
        <v>295</v>
      </c>
    </row>
    <row r="40" spans="1:10" x14ac:dyDescent="0.25">
      <c r="A40" s="1" t="s">
        <v>132</v>
      </c>
      <c r="B40" s="1" t="s">
        <v>21</v>
      </c>
      <c r="C40" s="1" t="s">
        <v>21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133</v>
      </c>
      <c r="I40" s="1" t="s">
        <v>134</v>
      </c>
      <c r="J40" s="1" t="s">
        <v>295</v>
      </c>
    </row>
    <row r="41" spans="1:10" x14ac:dyDescent="0.25">
      <c r="A41" s="1" t="s">
        <v>135</v>
      </c>
      <c r="B41" s="1" t="s">
        <v>21</v>
      </c>
      <c r="C41" s="1" t="s">
        <v>21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136</v>
      </c>
      <c r="I41" s="1" t="s">
        <v>137</v>
      </c>
      <c r="J41" s="1" t="s">
        <v>295</v>
      </c>
    </row>
    <row r="42" spans="1:10" x14ac:dyDescent="0.25">
      <c r="A42" s="1" t="s">
        <v>138</v>
      </c>
      <c r="B42" s="1" t="s">
        <v>21</v>
      </c>
      <c r="C42" s="1" t="s">
        <v>21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139</v>
      </c>
      <c r="I42" s="1" t="s">
        <v>140</v>
      </c>
      <c r="J42" s="1" t="s">
        <v>295</v>
      </c>
    </row>
    <row r="43" spans="1:10" x14ac:dyDescent="0.25">
      <c r="A43" s="1" t="s">
        <v>141</v>
      </c>
      <c r="B43" s="1" t="s">
        <v>21</v>
      </c>
      <c r="C43" s="1" t="s">
        <v>21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142</v>
      </c>
      <c r="I43" s="1" t="s">
        <v>143</v>
      </c>
      <c r="J43" s="1" t="s">
        <v>295</v>
      </c>
    </row>
    <row r="44" spans="1:10" x14ac:dyDescent="0.25">
      <c r="A44" s="1" t="s">
        <v>144</v>
      </c>
      <c r="B44" s="1" t="s">
        <v>21</v>
      </c>
      <c r="C44" s="1" t="s">
        <v>21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145</v>
      </c>
      <c r="I44" s="1" t="s">
        <v>146</v>
      </c>
      <c r="J44" s="1" t="s">
        <v>295</v>
      </c>
    </row>
    <row r="45" spans="1:10" x14ac:dyDescent="0.25">
      <c r="A45" s="1" t="s">
        <v>147</v>
      </c>
      <c r="B45" s="1" t="s">
        <v>21</v>
      </c>
      <c r="C45" s="1" t="s">
        <v>21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148</v>
      </c>
      <c r="I45" s="1" t="s">
        <v>149</v>
      </c>
      <c r="J45" s="1" t="s">
        <v>295</v>
      </c>
    </row>
    <row r="46" spans="1:10" x14ac:dyDescent="0.25">
      <c r="A46" s="1" t="s">
        <v>150</v>
      </c>
      <c r="B46" s="1" t="s">
        <v>21</v>
      </c>
      <c r="C46" s="1" t="s">
        <v>21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146</v>
      </c>
      <c r="I46" s="1" t="s">
        <v>151</v>
      </c>
      <c r="J46" s="1" t="s">
        <v>295</v>
      </c>
    </row>
    <row r="47" spans="1:10" x14ac:dyDescent="0.25">
      <c r="A47" s="1" t="s">
        <v>152</v>
      </c>
      <c r="B47" s="1" t="s">
        <v>36</v>
      </c>
      <c r="C47" s="1" t="s">
        <v>36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153</v>
      </c>
      <c r="I47" s="1" t="s">
        <v>154</v>
      </c>
      <c r="J47" s="1" t="s">
        <v>295</v>
      </c>
    </row>
    <row r="48" spans="1:10" x14ac:dyDescent="0.25">
      <c r="A48" s="1" t="s">
        <v>155</v>
      </c>
      <c r="B48" s="1" t="s">
        <v>36</v>
      </c>
      <c r="C48" s="1" t="s">
        <v>36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156</v>
      </c>
      <c r="I48" s="1" t="s">
        <v>157</v>
      </c>
      <c r="J48" s="1" t="s">
        <v>295</v>
      </c>
    </row>
    <row r="49" spans="1:10" x14ac:dyDescent="0.25">
      <c r="A49" s="1" t="s">
        <v>158</v>
      </c>
      <c r="B49" s="1" t="s">
        <v>36</v>
      </c>
      <c r="C49" s="1" t="s">
        <v>21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159</v>
      </c>
      <c r="I49" s="1" t="s">
        <v>160</v>
      </c>
      <c r="J49" s="1" t="s">
        <v>295</v>
      </c>
    </row>
    <row r="50" spans="1:10" x14ac:dyDescent="0.25">
      <c r="A50" s="1" t="s">
        <v>161</v>
      </c>
      <c r="B50" s="1" t="s">
        <v>36</v>
      </c>
      <c r="C50" s="1" t="s">
        <v>21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162</v>
      </c>
      <c r="I50" s="1" t="s">
        <v>163</v>
      </c>
      <c r="J50" s="1" t="s">
        <v>295</v>
      </c>
    </row>
    <row r="51" spans="1:10" x14ac:dyDescent="0.25">
      <c r="A51" s="1" t="s">
        <v>164</v>
      </c>
      <c r="B51" s="1" t="s">
        <v>36</v>
      </c>
      <c r="C51" s="1" t="s">
        <v>36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165</v>
      </c>
      <c r="I51" s="1" t="s">
        <v>166</v>
      </c>
      <c r="J51" s="1" t="s">
        <v>295</v>
      </c>
    </row>
    <row r="52" spans="1:10" x14ac:dyDescent="0.25">
      <c r="A52" s="1" t="s">
        <v>167</v>
      </c>
      <c r="B52" s="1" t="s">
        <v>36</v>
      </c>
      <c r="C52" s="1" t="s">
        <v>21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168</v>
      </c>
      <c r="I52" s="1" t="s">
        <v>169</v>
      </c>
      <c r="J52" s="1" t="s">
        <v>295</v>
      </c>
    </row>
    <row r="53" spans="1:10" x14ac:dyDescent="0.25">
      <c r="A53" s="1" t="s">
        <v>170</v>
      </c>
      <c r="B53" s="1" t="s">
        <v>36</v>
      </c>
      <c r="C53" s="1" t="s">
        <v>21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171</v>
      </c>
      <c r="I53" s="1" t="s">
        <v>172</v>
      </c>
      <c r="J53" s="1" t="s">
        <v>295</v>
      </c>
    </row>
    <row r="54" spans="1:10" x14ac:dyDescent="0.25">
      <c r="A54" s="1" t="s">
        <v>173</v>
      </c>
      <c r="B54" s="1" t="s">
        <v>36</v>
      </c>
      <c r="C54" s="1" t="s">
        <v>36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174</v>
      </c>
      <c r="I54" s="1" t="s">
        <v>175</v>
      </c>
      <c r="J54" s="1" t="s">
        <v>295</v>
      </c>
    </row>
    <row r="55" spans="1:10" x14ac:dyDescent="0.25">
      <c r="A55" s="1" t="s">
        <v>176</v>
      </c>
      <c r="B55" s="1" t="s">
        <v>36</v>
      </c>
      <c r="C55" s="1" t="s">
        <v>21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177</v>
      </c>
      <c r="I55" s="1" t="s">
        <v>178</v>
      </c>
      <c r="J55" s="1" t="s">
        <v>295</v>
      </c>
    </row>
    <row r="56" spans="1:10" x14ac:dyDescent="0.25">
      <c r="A56" s="1" t="s">
        <v>179</v>
      </c>
      <c r="B56" s="1" t="s">
        <v>36</v>
      </c>
      <c r="C56" s="1" t="s">
        <v>36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180</v>
      </c>
      <c r="I56" s="1" t="s">
        <v>181</v>
      </c>
      <c r="J56" s="1" t="s">
        <v>295</v>
      </c>
    </row>
    <row r="57" spans="1:10" x14ac:dyDescent="0.25">
      <c r="A57" s="1" t="s">
        <v>182</v>
      </c>
      <c r="B57" s="1" t="s">
        <v>36</v>
      </c>
      <c r="C57" s="1" t="s">
        <v>21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183</v>
      </c>
      <c r="I57" s="1" t="s">
        <v>184</v>
      </c>
      <c r="J57" s="1" t="s">
        <v>295</v>
      </c>
    </row>
    <row r="58" spans="1:10" x14ac:dyDescent="0.25">
      <c r="A58" s="1" t="s">
        <v>185</v>
      </c>
      <c r="B58" s="1" t="s">
        <v>36</v>
      </c>
      <c r="C58" s="1" t="s">
        <v>36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113</v>
      </c>
      <c r="I58" s="1" t="s">
        <v>186</v>
      </c>
      <c r="J58" s="1" t="s">
        <v>295</v>
      </c>
    </row>
    <row r="59" spans="1:10" x14ac:dyDescent="0.25">
      <c r="A59" s="1" t="s">
        <v>187</v>
      </c>
      <c r="B59" s="1" t="s">
        <v>36</v>
      </c>
      <c r="C59" s="1" t="s">
        <v>36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188</v>
      </c>
      <c r="I59" s="1" t="s">
        <v>189</v>
      </c>
      <c r="J59" s="1" t="s">
        <v>295</v>
      </c>
    </row>
    <row r="60" spans="1:10" x14ac:dyDescent="0.25">
      <c r="A60" s="1" t="s">
        <v>190</v>
      </c>
      <c r="B60" s="1" t="s">
        <v>36</v>
      </c>
      <c r="C60" s="1" t="s">
        <v>36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191</v>
      </c>
      <c r="I60" s="1" t="s">
        <v>192</v>
      </c>
      <c r="J60" s="1" t="s">
        <v>295</v>
      </c>
    </row>
    <row r="61" spans="1:10" x14ac:dyDescent="0.25">
      <c r="A61" s="1" t="s">
        <v>193</v>
      </c>
      <c r="B61" s="1" t="s">
        <v>36</v>
      </c>
      <c r="C61" s="1" t="s">
        <v>21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194</v>
      </c>
      <c r="I61" s="1" t="s">
        <v>195</v>
      </c>
      <c r="J61" s="1" t="s">
        <v>295</v>
      </c>
    </row>
    <row r="62" spans="1:10" x14ac:dyDescent="0.25">
      <c r="A62" s="1" t="s">
        <v>196</v>
      </c>
      <c r="B62" s="1" t="s">
        <v>36</v>
      </c>
      <c r="C62" s="1" t="s">
        <v>21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197</v>
      </c>
      <c r="I62" s="1" t="s">
        <v>198</v>
      </c>
      <c r="J62" s="1" t="s">
        <v>295</v>
      </c>
    </row>
    <row r="63" spans="1:10" x14ac:dyDescent="0.25">
      <c r="A63" s="1" t="s">
        <v>199</v>
      </c>
      <c r="B63" s="1" t="s">
        <v>36</v>
      </c>
      <c r="C63" s="1" t="s">
        <v>36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200</v>
      </c>
      <c r="I63" s="1" t="s">
        <v>201</v>
      </c>
      <c r="J63" s="1" t="s">
        <v>295</v>
      </c>
    </row>
    <row r="64" spans="1:10" x14ac:dyDescent="0.25">
      <c r="A64" s="1" t="s">
        <v>202</v>
      </c>
      <c r="B64" s="1" t="s">
        <v>36</v>
      </c>
      <c r="C64" s="1" t="s">
        <v>36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203</v>
      </c>
      <c r="I64" s="1" t="s">
        <v>204</v>
      </c>
      <c r="J64" s="1" t="s">
        <v>295</v>
      </c>
    </row>
    <row r="65" spans="1:10" x14ac:dyDescent="0.25">
      <c r="A65" s="1" t="s">
        <v>205</v>
      </c>
      <c r="B65" s="1" t="s">
        <v>36</v>
      </c>
      <c r="C65" s="1" t="s">
        <v>21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195</v>
      </c>
      <c r="I65" s="1" t="s">
        <v>206</v>
      </c>
      <c r="J65" s="1" t="s">
        <v>295</v>
      </c>
    </row>
    <row r="66" spans="1:10" x14ac:dyDescent="0.25">
      <c r="A66" s="1" t="s">
        <v>207</v>
      </c>
      <c r="B66" s="1" t="s">
        <v>36</v>
      </c>
      <c r="C66" s="1" t="s">
        <v>36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208</v>
      </c>
      <c r="I66" s="1" t="s">
        <v>209</v>
      </c>
      <c r="J66" s="1" t="s">
        <v>295</v>
      </c>
    </row>
    <row r="67" spans="1:10" x14ac:dyDescent="0.25">
      <c r="A67" s="1" t="s">
        <v>210</v>
      </c>
      <c r="B67" s="1" t="s">
        <v>36</v>
      </c>
      <c r="C67" s="1" t="s">
        <v>21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211</v>
      </c>
      <c r="I67" s="1" t="s">
        <v>212</v>
      </c>
      <c r="J67" s="1" t="s">
        <v>295</v>
      </c>
    </row>
    <row r="68" spans="1:10" x14ac:dyDescent="0.25">
      <c r="A68" s="1" t="s">
        <v>213</v>
      </c>
      <c r="B68" s="1" t="s">
        <v>36</v>
      </c>
      <c r="C68" s="1" t="s">
        <v>36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214</v>
      </c>
      <c r="I68" s="1" t="s">
        <v>215</v>
      </c>
      <c r="J68" s="1" t="s">
        <v>295</v>
      </c>
    </row>
    <row r="69" spans="1:10" x14ac:dyDescent="0.25">
      <c r="A69" s="1" t="s">
        <v>216</v>
      </c>
      <c r="B69" s="1" t="s">
        <v>36</v>
      </c>
      <c r="C69" s="1" t="s">
        <v>36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217</v>
      </c>
      <c r="I69" s="1" t="s">
        <v>218</v>
      </c>
      <c r="J69" s="1" t="s">
        <v>295</v>
      </c>
    </row>
    <row r="70" spans="1:10" x14ac:dyDescent="0.25">
      <c r="A70" s="1" t="s">
        <v>219</v>
      </c>
      <c r="B70" s="1" t="s">
        <v>36</v>
      </c>
      <c r="C70" s="1" t="s">
        <v>36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220</v>
      </c>
      <c r="I70" s="1" t="s">
        <v>221</v>
      </c>
      <c r="J70" s="1" t="s">
        <v>295</v>
      </c>
    </row>
    <row r="71" spans="1:10" x14ac:dyDescent="0.25">
      <c r="A71" s="1" t="s">
        <v>222</v>
      </c>
      <c r="B71" s="1" t="s">
        <v>36</v>
      </c>
      <c r="C71" s="1" t="s">
        <v>36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223</v>
      </c>
      <c r="I71" s="1" t="s">
        <v>224</v>
      </c>
      <c r="J71" s="1" t="s">
        <v>295</v>
      </c>
    </row>
    <row r="72" spans="1:10" x14ac:dyDescent="0.25">
      <c r="A72" s="1" t="s">
        <v>225</v>
      </c>
      <c r="B72" s="1" t="s">
        <v>36</v>
      </c>
      <c r="C72" s="1" t="s">
        <v>36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226</v>
      </c>
      <c r="I72" s="1" t="s">
        <v>227</v>
      </c>
      <c r="J72" s="1" t="s">
        <v>295</v>
      </c>
    </row>
    <row r="73" spans="1:10" x14ac:dyDescent="0.25">
      <c r="A73" s="1" t="s">
        <v>228</v>
      </c>
      <c r="B73" s="1" t="s">
        <v>36</v>
      </c>
      <c r="C73" s="1" t="s">
        <v>21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229</v>
      </c>
      <c r="I73" s="1" t="s">
        <v>230</v>
      </c>
      <c r="J73" s="1" t="s">
        <v>295</v>
      </c>
    </row>
    <row r="74" spans="1:10" x14ac:dyDescent="0.25">
      <c r="A74" s="1" t="s">
        <v>231</v>
      </c>
      <c r="B74" s="1" t="s">
        <v>36</v>
      </c>
      <c r="C74" s="1" t="s">
        <v>36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232</v>
      </c>
      <c r="I74" s="1" t="s">
        <v>233</v>
      </c>
      <c r="J74" s="1" t="s">
        <v>295</v>
      </c>
    </row>
    <row r="75" spans="1:10" x14ac:dyDescent="0.25">
      <c r="A75" s="1" t="s">
        <v>234</v>
      </c>
      <c r="B75" s="1" t="s">
        <v>36</v>
      </c>
      <c r="C75" s="1" t="s">
        <v>36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235</v>
      </c>
      <c r="I75" s="1" t="s">
        <v>236</v>
      </c>
      <c r="J75" s="1" t="s">
        <v>295</v>
      </c>
    </row>
    <row r="76" spans="1:10" x14ac:dyDescent="0.25">
      <c r="A76" s="1" t="s">
        <v>237</v>
      </c>
      <c r="B76" s="1" t="s">
        <v>36</v>
      </c>
      <c r="C76" s="1" t="s">
        <v>36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238</v>
      </c>
      <c r="I76" s="1" t="s">
        <v>239</v>
      </c>
      <c r="J76" s="1" t="s">
        <v>295</v>
      </c>
    </row>
    <row r="77" spans="1:10" x14ac:dyDescent="0.25">
      <c r="A77" s="1" t="s">
        <v>240</v>
      </c>
      <c r="B77" s="1" t="s">
        <v>36</v>
      </c>
      <c r="C77" s="1" t="s">
        <v>36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241</v>
      </c>
      <c r="I77" s="1" t="s">
        <v>242</v>
      </c>
      <c r="J77" s="1" t="s">
        <v>295</v>
      </c>
    </row>
    <row r="78" spans="1:10" x14ac:dyDescent="0.25">
      <c r="A78" s="1" t="s">
        <v>243</v>
      </c>
      <c r="B78" s="1" t="s">
        <v>36</v>
      </c>
      <c r="C78" s="1" t="s">
        <v>36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244</v>
      </c>
      <c r="I78" s="1" t="s">
        <v>245</v>
      </c>
      <c r="J78" s="1" t="s">
        <v>295</v>
      </c>
    </row>
    <row r="79" spans="1:10" x14ac:dyDescent="0.25">
      <c r="A79" s="1" t="s">
        <v>246</v>
      </c>
      <c r="B79" s="1" t="s">
        <v>36</v>
      </c>
      <c r="C79" s="1" t="s">
        <v>36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247</v>
      </c>
      <c r="I79" s="1" t="s">
        <v>248</v>
      </c>
      <c r="J79" s="1" t="s">
        <v>295</v>
      </c>
    </row>
    <row r="80" spans="1:10" x14ac:dyDescent="0.25">
      <c r="A80" s="1" t="s">
        <v>249</v>
      </c>
      <c r="B80" s="1" t="s">
        <v>36</v>
      </c>
      <c r="C80" s="1" t="s">
        <v>36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250</v>
      </c>
      <c r="I80" s="1" t="s">
        <v>251</v>
      </c>
      <c r="J80" s="1" t="s">
        <v>295</v>
      </c>
    </row>
    <row r="81" spans="1:10" x14ac:dyDescent="0.25">
      <c r="A81" s="1" t="s">
        <v>252</v>
      </c>
      <c r="B81" s="1" t="s">
        <v>36</v>
      </c>
      <c r="C81" s="1" t="s">
        <v>36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253</v>
      </c>
      <c r="I81" s="1" t="s">
        <v>254</v>
      </c>
      <c r="J81" s="1" t="s">
        <v>295</v>
      </c>
    </row>
    <row r="82" spans="1:10" x14ac:dyDescent="0.25">
      <c r="A82" s="1" t="s">
        <v>255</v>
      </c>
      <c r="B82" s="1" t="s">
        <v>36</v>
      </c>
      <c r="C82" s="1" t="s">
        <v>36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256</v>
      </c>
      <c r="I82" s="1" t="s">
        <v>257</v>
      </c>
      <c r="J82" s="1" t="s">
        <v>295</v>
      </c>
    </row>
    <row r="83" spans="1:10" x14ac:dyDescent="0.25">
      <c r="A83" s="1" t="s">
        <v>258</v>
      </c>
      <c r="B83" s="1" t="s">
        <v>36</v>
      </c>
      <c r="C83" s="1" t="s">
        <v>21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259</v>
      </c>
      <c r="I83" s="1" t="s">
        <v>260</v>
      </c>
      <c r="J83" s="1" t="s">
        <v>295</v>
      </c>
    </row>
    <row r="84" spans="1:10" x14ac:dyDescent="0.25">
      <c r="A84" s="1" t="s">
        <v>261</v>
      </c>
      <c r="B84" s="1" t="s">
        <v>36</v>
      </c>
      <c r="C84" s="1" t="s">
        <v>36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262</v>
      </c>
      <c r="I84" s="1" t="s">
        <v>263</v>
      </c>
      <c r="J84" s="1" t="s">
        <v>295</v>
      </c>
    </row>
    <row r="85" spans="1:10" x14ac:dyDescent="0.25">
      <c r="A85" s="1" t="s">
        <v>264</v>
      </c>
      <c r="B85" s="1" t="s">
        <v>36</v>
      </c>
      <c r="C85" s="1" t="s">
        <v>36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265</v>
      </c>
      <c r="I85" s="1" t="s">
        <v>266</v>
      </c>
      <c r="J85" s="1" t="s">
        <v>295</v>
      </c>
    </row>
    <row r="86" spans="1:10" x14ac:dyDescent="0.25">
      <c r="A86" s="1" t="s">
        <v>267</v>
      </c>
      <c r="B86" s="1" t="s">
        <v>36</v>
      </c>
      <c r="C86" s="1" t="s">
        <v>21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268</v>
      </c>
      <c r="I86" s="1" t="s">
        <v>91</v>
      </c>
      <c r="J86" s="1" t="s">
        <v>295</v>
      </c>
    </row>
    <row r="87" spans="1:10" x14ac:dyDescent="0.25">
      <c r="A87" s="1" t="s">
        <v>269</v>
      </c>
      <c r="B87" s="1" t="s">
        <v>36</v>
      </c>
      <c r="C87" s="1" t="s">
        <v>21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270</v>
      </c>
      <c r="I87" s="1" t="s">
        <v>271</v>
      </c>
      <c r="J87" s="1" t="s">
        <v>295</v>
      </c>
    </row>
    <row r="88" spans="1:10" x14ac:dyDescent="0.25">
      <c r="A88" s="1" t="s">
        <v>272</v>
      </c>
      <c r="B88" s="1" t="s">
        <v>36</v>
      </c>
      <c r="C88" s="1" t="s">
        <v>36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273</v>
      </c>
      <c r="I88" s="1" t="s">
        <v>274</v>
      </c>
      <c r="J88" s="1" t="s">
        <v>295</v>
      </c>
    </row>
    <row r="89" spans="1:10" x14ac:dyDescent="0.25">
      <c r="A89" s="1" t="s">
        <v>275</v>
      </c>
      <c r="B89" s="1" t="s">
        <v>36</v>
      </c>
      <c r="C89" s="1" t="s">
        <v>36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276</v>
      </c>
      <c r="I89" s="1" t="s">
        <v>277</v>
      </c>
      <c r="J89" s="1" t="s">
        <v>295</v>
      </c>
    </row>
    <row r="90" spans="1:10" x14ac:dyDescent="0.25">
      <c r="A90" s="1" t="s">
        <v>278</v>
      </c>
      <c r="B90" s="1" t="s">
        <v>36</v>
      </c>
      <c r="C90" s="1" t="s">
        <v>36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191</v>
      </c>
      <c r="I90" s="1" t="s">
        <v>279</v>
      </c>
      <c r="J90" s="1" t="s">
        <v>295</v>
      </c>
    </row>
    <row r="91" spans="1:10" x14ac:dyDescent="0.25">
      <c r="A91" s="1" t="s">
        <v>280</v>
      </c>
      <c r="B91" s="1" t="s">
        <v>36</v>
      </c>
      <c r="C91" s="1" t="s">
        <v>36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281</v>
      </c>
      <c r="I91" s="1" t="s">
        <v>282</v>
      </c>
      <c r="J91" s="1" t="s">
        <v>295</v>
      </c>
    </row>
    <row r="92" spans="1:10" x14ac:dyDescent="0.25">
      <c r="A92" s="1" t="s">
        <v>283</v>
      </c>
      <c r="B92" s="1" t="s">
        <v>36</v>
      </c>
      <c r="C92" s="1" t="s">
        <v>36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284</v>
      </c>
      <c r="I92" s="1" t="s">
        <v>285</v>
      </c>
      <c r="J92" s="1" t="s">
        <v>295</v>
      </c>
    </row>
    <row r="93" spans="1:10" x14ac:dyDescent="0.25">
      <c r="A93" s="1" t="s">
        <v>286</v>
      </c>
      <c r="B93" s="1" t="s">
        <v>36</v>
      </c>
      <c r="C93" s="1" t="s">
        <v>36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287</v>
      </c>
      <c r="I93" s="1" t="s">
        <v>288</v>
      </c>
      <c r="J93" s="1" t="s">
        <v>295</v>
      </c>
    </row>
    <row r="94" spans="1:10" x14ac:dyDescent="0.25">
      <c r="A94" s="1" t="s">
        <v>289</v>
      </c>
      <c r="B94" s="1" t="s">
        <v>36</v>
      </c>
      <c r="C94" s="1" t="s">
        <v>36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290</v>
      </c>
      <c r="I94" s="1" t="s">
        <v>291</v>
      </c>
      <c r="J94" s="1" t="s">
        <v>295</v>
      </c>
    </row>
    <row r="95" spans="1:10" x14ac:dyDescent="0.25">
      <c r="A95" s="1" t="s">
        <v>292</v>
      </c>
      <c r="B95" s="1" t="s">
        <v>36</v>
      </c>
      <c r="C95" s="1" t="s">
        <v>36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293</v>
      </c>
      <c r="I95" s="1" t="s">
        <v>239</v>
      </c>
      <c r="J95" s="1" t="s">
        <v>295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93DD-A861-4EC9-9F2A-11B3AB03FD42}">
  <dimension ref="A1:O95"/>
  <sheetViews>
    <sheetView workbookViewId="0">
      <selection activeCell="N2" sqref="N2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36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304</v>
      </c>
      <c r="N2">
        <f>COUNTIFS(B:B, "CLOSED", C:C, "CLOSED")</f>
        <v>44</v>
      </c>
      <c r="O2">
        <f>COUNTIFS(B:B, "OPEN", C:C, "OPEN")</f>
        <v>43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23</v>
      </c>
      <c r="I3" s="1" t="s">
        <v>24</v>
      </c>
      <c r="J3" s="1" t="s">
        <v>294</v>
      </c>
      <c r="M3" s="2" t="s">
        <v>305</v>
      </c>
      <c r="N3">
        <f>COUNTIFS(B:B, "CLOSED")</f>
        <v>44</v>
      </c>
      <c r="O3">
        <f>COUNTIFS(B:B, "OPEN")</f>
        <v>49</v>
      </c>
    </row>
    <row r="4" spans="1:15" x14ac:dyDescent="0.25">
      <c r="A4" s="1" t="s">
        <v>26</v>
      </c>
      <c r="B4" s="1" t="s">
        <v>21</v>
      </c>
      <c r="C4" s="1" t="s">
        <v>21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27</v>
      </c>
      <c r="I4" s="1" t="s">
        <v>28</v>
      </c>
      <c r="J4" s="1" t="s">
        <v>294</v>
      </c>
      <c r="M4" s="2" t="s">
        <v>306</v>
      </c>
      <c r="N4">
        <f>N2/N3</f>
        <v>1</v>
      </c>
      <c r="O4">
        <f>O2/O3</f>
        <v>0.87755102040816324</v>
      </c>
    </row>
    <row r="5" spans="1:15" x14ac:dyDescent="0.25">
      <c r="A5" s="1" t="s">
        <v>29</v>
      </c>
      <c r="B5" s="1" t="s">
        <v>21</v>
      </c>
      <c r="C5" s="1" t="s">
        <v>21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30</v>
      </c>
      <c r="I5" s="1" t="s">
        <v>31</v>
      </c>
      <c r="J5" s="1" t="s">
        <v>294</v>
      </c>
    </row>
    <row r="6" spans="1:15" x14ac:dyDescent="0.25">
      <c r="A6" s="1" t="s">
        <v>32</v>
      </c>
      <c r="B6" s="1" t="s">
        <v>21</v>
      </c>
      <c r="C6" s="1" t="s">
        <v>21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33</v>
      </c>
      <c r="I6" s="1" t="s">
        <v>34</v>
      </c>
      <c r="J6" s="1" t="s">
        <v>294</v>
      </c>
    </row>
    <row r="7" spans="1:15" x14ac:dyDescent="0.25">
      <c r="A7" s="1" t="s">
        <v>35</v>
      </c>
      <c r="B7" s="1" t="s">
        <v>21</v>
      </c>
      <c r="C7" s="1" t="s">
        <v>21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37</v>
      </c>
      <c r="I7" s="1" t="s">
        <v>38</v>
      </c>
      <c r="J7" s="1" t="s">
        <v>294</v>
      </c>
    </row>
    <row r="8" spans="1:15" x14ac:dyDescent="0.25">
      <c r="A8" s="1" t="s">
        <v>39</v>
      </c>
      <c r="B8" s="1" t="s">
        <v>21</v>
      </c>
      <c r="C8" s="1" t="s">
        <v>21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40</v>
      </c>
      <c r="I8" s="1" t="s">
        <v>41</v>
      </c>
      <c r="J8" s="1" t="s">
        <v>294</v>
      </c>
      <c r="M8" t="s">
        <v>307</v>
      </c>
    </row>
    <row r="9" spans="1:15" x14ac:dyDescent="0.25">
      <c r="A9" s="1" t="s">
        <v>42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23</v>
      </c>
      <c r="I9" s="1" t="s">
        <v>43</v>
      </c>
      <c r="J9" s="1" t="s">
        <v>294</v>
      </c>
    </row>
    <row r="10" spans="1:15" x14ac:dyDescent="0.25">
      <c r="A10" s="1" t="s">
        <v>44</v>
      </c>
      <c r="B10" s="1" t="s">
        <v>21</v>
      </c>
      <c r="C10" s="1" t="s">
        <v>21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45</v>
      </c>
      <c r="I10" s="1" t="s">
        <v>46</v>
      </c>
      <c r="J10" s="1" t="s">
        <v>294</v>
      </c>
    </row>
    <row r="11" spans="1:15" x14ac:dyDescent="0.25">
      <c r="A11" s="1" t="s">
        <v>47</v>
      </c>
      <c r="B11" s="1" t="s">
        <v>21</v>
      </c>
      <c r="C11" s="1" t="s">
        <v>21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48</v>
      </c>
      <c r="I11" s="1" t="s">
        <v>49</v>
      </c>
      <c r="J11" s="1" t="s">
        <v>294</v>
      </c>
    </row>
    <row r="12" spans="1:15" x14ac:dyDescent="0.25">
      <c r="A12" s="1" t="s">
        <v>50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51</v>
      </c>
      <c r="I12" s="1" t="s">
        <v>52</v>
      </c>
      <c r="J12" s="1" t="s">
        <v>294</v>
      </c>
    </row>
    <row r="13" spans="1:15" x14ac:dyDescent="0.25">
      <c r="A13" s="1" t="s">
        <v>53</v>
      </c>
      <c r="B13" s="1" t="s">
        <v>21</v>
      </c>
      <c r="C13" s="1" t="s">
        <v>21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54</v>
      </c>
      <c r="I13" s="1" t="s">
        <v>55</v>
      </c>
      <c r="J13" s="1" t="s">
        <v>294</v>
      </c>
    </row>
    <row r="14" spans="1:15" x14ac:dyDescent="0.25">
      <c r="A14" s="1" t="s">
        <v>56</v>
      </c>
      <c r="B14" s="1" t="s">
        <v>21</v>
      </c>
      <c r="C14" s="1" t="s">
        <v>21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57</v>
      </c>
      <c r="I14" s="1" t="s">
        <v>58</v>
      </c>
      <c r="J14" s="1" t="s">
        <v>294</v>
      </c>
    </row>
    <row r="15" spans="1:15" x14ac:dyDescent="0.25">
      <c r="A15" s="1" t="s">
        <v>59</v>
      </c>
      <c r="B15" s="1" t="s">
        <v>21</v>
      </c>
      <c r="C15" s="1" t="s">
        <v>21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60</v>
      </c>
      <c r="I15" s="1" t="s">
        <v>61</v>
      </c>
      <c r="J15" s="1" t="s">
        <v>294</v>
      </c>
    </row>
    <row r="16" spans="1:15" x14ac:dyDescent="0.25">
      <c r="A16" s="1" t="s">
        <v>62</v>
      </c>
      <c r="B16" s="1" t="s">
        <v>21</v>
      </c>
      <c r="C16" s="1" t="s">
        <v>21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63</v>
      </c>
      <c r="I16" s="1" t="s">
        <v>64</v>
      </c>
      <c r="J16" s="1" t="s">
        <v>294</v>
      </c>
    </row>
    <row r="17" spans="1:10" x14ac:dyDescent="0.25">
      <c r="A17" s="1" t="s">
        <v>65</v>
      </c>
      <c r="B17" s="1" t="s">
        <v>21</v>
      </c>
      <c r="C17" s="1" t="s">
        <v>21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66</v>
      </c>
      <c r="I17" s="1" t="s">
        <v>67</v>
      </c>
      <c r="J17" s="1" t="s">
        <v>294</v>
      </c>
    </row>
    <row r="18" spans="1:10" x14ac:dyDescent="0.25">
      <c r="A18" s="1" t="s">
        <v>68</v>
      </c>
      <c r="B18" s="1" t="s">
        <v>21</v>
      </c>
      <c r="C18" s="1" t="s">
        <v>21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69</v>
      </c>
      <c r="I18" s="1" t="s">
        <v>70</v>
      </c>
      <c r="J18" s="1" t="s">
        <v>294</v>
      </c>
    </row>
    <row r="19" spans="1:10" x14ac:dyDescent="0.25">
      <c r="A19" s="1" t="s">
        <v>71</v>
      </c>
      <c r="B19" s="1" t="s">
        <v>21</v>
      </c>
      <c r="C19" s="1" t="s">
        <v>21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72</v>
      </c>
      <c r="I19" s="1" t="s">
        <v>73</v>
      </c>
      <c r="J19" s="1" t="s">
        <v>294</v>
      </c>
    </row>
    <row r="20" spans="1:10" x14ac:dyDescent="0.25">
      <c r="A20" s="1" t="s">
        <v>74</v>
      </c>
      <c r="B20" s="1" t="s">
        <v>21</v>
      </c>
      <c r="C20" s="1" t="s">
        <v>21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75</v>
      </c>
      <c r="I20" s="1" t="s">
        <v>76</v>
      </c>
      <c r="J20" s="1" t="s">
        <v>294</v>
      </c>
    </row>
    <row r="21" spans="1:10" x14ac:dyDescent="0.25">
      <c r="A21" s="1" t="s">
        <v>77</v>
      </c>
      <c r="B21" s="1" t="s">
        <v>21</v>
      </c>
      <c r="C21" s="1" t="s">
        <v>21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78</v>
      </c>
      <c r="I21" s="1" t="s">
        <v>79</v>
      </c>
      <c r="J21" s="1" t="s">
        <v>294</v>
      </c>
    </row>
    <row r="22" spans="1:10" x14ac:dyDescent="0.25">
      <c r="A22" s="1" t="s">
        <v>80</v>
      </c>
      <c r="B22" s="1" t="s">
        <v>21</v>
      </c>
      <c r="C22" s="1" t="s">
        <v>21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81</v>
      </c>
      <c r="I22" s="1" t="s">
        <v>82</v>
      </c>
      <c r="J22" s="1" t="s">
        <v>294</v>
      </c>
    </row>
    <row r="23" spans="1:10" x14ac:dyDescent="0.25">
      <c r="A23" s="1" t="s">
        <v>83</v>
      </c>
      <c r="B23" s="1" t="s">
        <v>21</v>
      </c>
      <c r="C23" s="1" t="s">
        <v>21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84</v>
      </c>
      <c r="I23" s="1" t="s">
        <v>85</v>
      </c>
      <c r="J23" s="1" t="s">
        <v>294</v>
      </c>
    </row>
    <row r="24" spans="1:10" x14ac:dyDescent="0.25">
      <c r="A24" s="1" t="s">
        <v>86</v>
      </c>
      <c r="B24" s="1" t="s">
        <v>21</v>
      </c>
      <c r="C24" s="1" t="s">
        <v>21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87</v>
      </c>
      <c r="I24" s="1" t="s">
        <v>88</v>
      </c>
      <c r="J24" s="1" t="s">
        <v>294</v>
      </c>
    </row>
    <row r="25" spans="1:10" x14ac:dyDescent="0.25">
      <c r="A25" s="1" t="s">
        <v>89</v>
      </c>
      <c r="B25" s="1" t="s">
        <v>21</v>
      </c>
      <c r="C25" s="1" t="s">
        <v>21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90</v>
      </c>
      <c r="I25" s="1" t="s">
        <v>91</v>
      </c>
      <c r="J25" s="1" t="s">
        <v>294</v>
      </c>
    </row>
    <row r="26" spans="1:10" x14ac:dyDescent="0.25">
      <c r="A26" s="1" t="s">
        <v>92</v>
      </c>
      <c r="B26" s="1" t="s">
        <v>21</v>
      </c>
      <c r="C26" s="1" t="s">
        <v>21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93</v>
      </c>
      <c r="I26" s="1" t="s">
        <v>94</v>
      </c>
      <c r="J26" s="1" t="s">
        <v>294</v>
      </c>
    </row>
    <row r="27" spans="1:10" x14ac:dyDescent="0.25">
      <c r="A27" s="1" t="s">
        <v>95</v>
      </c>
      <c r="B27" s="1" t="s">
        <v>21</v>
      </c>
      <c r="C27" s="1" t="s">
        <v>21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96</v>
      </c>
      <c r="I27" s="1" t="s">
        <v>97</v>
      </c>
      <c r="J27" s="1" t="s">
        <v>294</v>
      </c>
    </row>
    <row r="28" spans="1:10" x14ac:dyDescent="0.25">
      <c r="A28" s="1" t="s">
        <v>98</v>
      </c>
      <c r="B28" s="1" t="s">
        <v>21</v>
      </c>
      <c r="C28" s="1" t="s">
        <v>21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99</v>
      </c>
      <c r="I28" s="1" t="s">
        <v>100</v>
      </c>
      <c r="J28" s="1" t="s">
        <v>294</v>
      </c>
    </row>
    <row r="29" spans="1:10" x14ac:dyDescent="0.25">
      <c r="A29" s="1" t="s">
        <v>101</v>
      </c>
      <c r="B29" s="1" t="s">
        <v>21</v>
      </c>
      <c r="C29" s="1" t="s">
        <v>21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102</v>
      </c>
      <c r="I29" s="1" t="s">
        <v>103</v>
      </c>
      <c r="J29" s="1" t="s">
        <v>294</v>
      </c>
    </row>
    <row r="30" spans="1:10" x14ac:dyDescent="0.25">
      <c r="A30" s="1" t="s">
        <v>104</v>
      </c>
      <c r="B30" s="1" t="s">
        <v>21</v>
      </c>
      <c r="C30" s="1" t="s">
        <v>21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105</v>
      </c>
      <c r="I30" s="1" t="s">
        <v>81</v>
      </c>
      <c r="J30" s="1" t="s">
        <v>294</v>
      </c>
    </row>
    <row r="31" spans="1:10" x14ac:dyDescent="0.25">
      <c r="A31" s="1" t="s">
        <v>106</v>
      </c>
      <c r="B31" s="1" t="s">
        <v>21</v>
      </c>
      <c r="C31" s="1" t="s">
        <v>21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107</v>
      </c>
      <c r="I31" s="1" t="s">
        <v>108</v>
      </c>
      <c r="J31" s="1" t="s">
        <v>294</v>
      </c>
    </row>
    <row r="32" spans="1:10" x14ac:dyDescent="0.25">
      <c r="A32" s="1" t="s">
        <v>109</v>
      </c>
      <c r="B32" s="1" t="s">
        <v>21</v>
      </c>
      <c r="C32" s="1" t="s">
        <v>21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110</v>
      </c>
      <c r="I32" s="1" t="s">
        <v>111</v>
      </c>
      <c r="J32" s="1" t="s">
        <v>294</v>
      </c>
    </row>
    <row r="33" spans="1:10" x14ac:dyDescent="0.25">
      <c r="A33" s="1" t="s">
        <v>112</v>
      </c>
      <c r="B33" s="1" t="s">
        <v>21</v>
      </c>
      <c r="C33" s="1" t="s">
        <v>21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113</v>
      </c>
      <c r="I33" s="1" t="s">
        <v>58</v>
      </c>
      <c r="J33" s="1" t="s">
        <v>294</v>
      </c>
    </row>
    <row r="34" spans="1:10" x14ac:dyDescent="0.25">
      <c r="A34" s="1" t="s">
        <v>114</v>
      </c>
      <c r="B34" s="1" t="s">
        <v>21</v>
      </c>
      <c r="C34" s="1" t="s">
        <v>21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115</v>
      </c>
      <c r="I34" s="1" t="s">
        <v>116</v>
      </c>
      <c r="J34" s="1" t="s">
        <v>294</v>
      </c>
    </row>
    <row r="35" spans="1:10" x14ac:dyDescent="0.25">
      <c r="A35" s="1" t="s">
        <v>117</v>
      </c>
      <c r="B35" s="1" t="s">
        <v>21</v>
      </c>
      <c r="C35" s="1" t="s">
        <v>21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118</v>
      </c>
      <c r="I35" s="1" t="s">
        <v>119</v>
      </c>
      <c r="J35" s="1" t="s">
        <v>294</v>
      </c>
    </row>
    <row r="36" spans="1:10" x14ac:dyDescent="0.25">
      <c r="A36" s="1" t="s">
        <v>120</v>
      </c>
      <c r="B36" s="1" t="s">
        <v>21</v>
      </c>
      <c r="C36" s="1" t="s">
        <v>21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121</v>
      </c>
      <c r="I36" s="1" t="s">
        <v>122</v>
      </c>
      <c r="J36" s="1" t="s">
        <v>294</v>
      </c>
    </row>
    <row r="37" spans="1:10" x14ac:dyDescent="0.25">
      <c r="A37" s="1" t="s">
        <v>123</v>
      </c>
      <c r="B37" s="1" t="s">
        <v>21</v>
      </c>
      <c r="C37" s="1" t="s">
        <v>21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124</v>
      </c>
      <c r="I37" s="1" t="s">
        <v>125</v>
      </c>
      <c r="J37" s="1" t="s">
        <v>294</v>
      </c>
    </row>
    <row r="38" spans="1:10" x14ac:dyDescent="0.25">
      <c r="A38" s="1" t="s">
        <v>126</v>
      </c>
      <c r="B38" s="1" t="s">
        <v>21</v>
      </c>
      <c r="C38" s="1" t="s">
        <v>21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127</v>
      </c>
      <c r="I38" s="1" t="s">
        <v>128</v>
      </c>
      <c r="J38" s="1" t="s">
        <v>294</v>
      </c>
    </row>
    <row r="39" spans="1:10" x14ac:dyDescent="0.25">
      <c r="A39" s="1" t="s">
        <v>129</v>
      </c>
      <c r="B39" s="1" t="s">
        <v>21</v>
      </c>
      <c r="C39" s="1" t="s">
        <v>21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130</v>
      </c>
      <c r="I39" s="1" t="s">
        <v>131</v>
      </c>
      <c r="J39" s="1" t="s">
        <v>294</v>
      </c>
    </row>
    <row r="40" spans="1:10" x14ac:dyDescent="0.25">
      <c r="A40" s="1" t="s">
        <v>132</v>
      </c>
      <c r="B40" s="1" t="s">
        <v>21</v>
      </c>
      <c r="C40" s="1" t="s">
        <v>21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133</v>
      </c>
      <c r="I40" s="1" t="s">
        <v>134</v>
      </c>
      <c r="J40" s="1" t="s">
        <v>294</v>
      </c>
    </row>
    <row r="41" spans="1:10" x14ac:dyDescent="0.25">
      <c r="A41" s="1" t="s">
        <v>135</v>
      </c>
      <c r="B41" s="1" t="s">
        <v>21</v>
      </c>
      <c r="C41" s="1" t="s">
        <v>21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136</v>
      </c>
      <c r="I41" s="1" t="s">
        <v>137</v>
      </c>
      <c r="J41" s="1" t="s">
        <v>294</v>
      </c>
    </row>
    <row r="42" spans="1:10" x14ac:dyDescent="0.25">
      <c r="A42" s="1" t="s">
        <v>138</v>
      </c>
      <c r="B42" s="1" t="s">
        <v>21</v>
      </c>
      <c r="C42" s="1" t="s">
        <v>21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139</v>
      </c>
      <c r="I42" s="1" t="s">
        <v>140</v>
      </c>
      <c r="J42" s="1" t="s">
        <v>294</v>
      </c>
    </row>
    <row r="43" spans="1:10" x14ac:dyDescent="0.25">
      <c r="A43" s="1" t="s">
        <v>141</v>
      </c>
      <c r="B43" s="1" t="s">
        <v>21</v>
      </c>
      <c r="C43" s="1" t="s">
        <v>21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142</v>
      </c>
      <c r="I43" s="1" t="s">
        <v>143</v>
      </c>
      <c r="J43" s="1" t="s">
        <v>294</v>
      </c>
    </row>
    <row r="44" spans="1:10" x14ac:dyDescent="0.25">
      <c r="A44" s="1" t="s">
        <v>144</v>
      </c>
      <c r="B44" s="1" t="s">
        <v>21</v>
      </c>
      <c r="C44" s="1" t="s">
        <v>21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145</v>
      </c>
      <c r="I44" s="1" t="s">
        <v>146</v>
      </c>
      <c r="J44" s="1" t="s">
        <v>294</v>
      </c>
    </row>
    <row r="45" spans="1:10" x14ac:dyDescent="0.25">
      <c r="A45" s="1" t="s">
        <v>147</v>
      </c>
      <c r="B45" s="1" t="s">
        <v>21</v>
      </c>
      <c r="C45" s="1" t="s">
        <v>21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148</v>
      </c>
      <c r="I45" s="1" t="s">
        <v>149</v>
      </c>
      <c r="J45" s="1" t="s">
        <v>294</v>
      </c>
    </row>
    <row r="46" spans="1:10" x14ac:dyDescent="0.25">
      <c r="A46" s="1" t="s">
        <v>150</v>
      </c>
      <c r="B46" s="1" t="s">
        <v>21</v>
      </c>
      <c r="C46" s="1" t="s">
        <v>21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146</v>
      </c>
      <c r="I46" s="1" t="s">
        <v>151</v>
      </c>
      <c r="J46" s="1" t="s">
        <v>294</v>
      </c>
    </row>
    <row r="47" spans="1:10" x14ac:dyDescent="0.25">
      <c r="A47" s="1" t="s">
        <v>152</v>
      </c>
      <c r="B47" s="1" t="s">
        <v>36</v>
      </c>
      <c r="C47" s="1" t="s">
        <v>36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153</v>
      </c>
      <c r="I47" s="1" t="s">
        <v>154</v>
      </c>
      <c r="J47" s="1" t="s">
        <v>294</v>
      </c>
    </row>
    <row r="48" spans="1:10" x14ac:dyDescent="0.25">
      <c r="A48" s="1" t="s">
        <v>155</v>
      </c>
      <c r="B48" s="1" t="s">
        <v>36</v>
      </c>
      <c r="C48" s="1" t="s">
        <v>36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156</v>
      </c>
      <c r="I48" s="1" t="s">
        <v>157</v>
      </c>
      <c r="J48" s="1" t="s">
        <v>294</v>
      </c>
    </row>
    <row r="49" spans="1:10" x14ac:dyDescent="0.25">
      <c r="A49" s="1" t="s">
        <v>158</v>
      </c>
      <c r="B49" s="1" t="s">
        <v>36</v>
      </c>
      <c r="C49" s="1" t="s">
        <v>21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159</v>
      </c>
      <c r="I49" s="1" t="s">
        <v>160</v>
      </c>
      <c r="J49" s="1" t="s">
        <v>294</v>
      </c>
    </row>
    <row r="50" spans="1:10" x14ac:dyDescent="0.25">
      <c r="A50" s="1" t="s">
        <v>161</v>
      </c>
      <c r="B50" s="1" t="s">
        <v>36</v>
      </c>
      <c r="C50" s="1" t="s">
        <v>21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162</v>
      </c>
      <c r="I50" s="1" t="s">
        <v>163</v>
      </c>
      <c r="J50" s="1" t="s">
        <v>294</v>
      </c>
    </row>
    <row r="51" spans="1:10" x14ac:dyDescent="0.25">
      <c r="A51" s="1" t="s">
        <v>164</v>
      </c>
      <c r="B51" s="1" t="s">
        <v>36</v>
      </c>
      <c r="C51" s="1" t="s">
        <v>36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165</v>
      </c>
      <c r="I51" s="1" t="s">
        <v>166</v>
      </c>
      <c r="J51" s="1" t="s">
        <v>294</v>
      </c>
    </row>
    <row r="52" spans="1:10" x14ac:dyDescent="0.25">
      <c r="A52" s="1" t="s">
        <v>167</v>
      </c>
      <c r="B52" s="1" t="s">
        <v>36</v>
      </c>
      <c r="C52" s="1" t="s">
        <v>36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168</v>
      </c>
      <c r="I52" s="1" t="s">
        <v>169</v>
      </c>
      <c r="J52" s="1" t="s">
        <v>294</v>
      </c>
    </row>
    <row r="53" spans="1:10" x14ac:dyDescent="0.25">
      <c r="A53" s="1" t="s">
        <v>170</v>
      </c>
      <c r="B53" s="1" t="s">
        <v>36</v>
      </c>
      <c r="C53" s="1" t="s">
        <v>36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171</v>
      </c>
      <c r="I53" s="1" t="s">
        <v>172</v>
      </c>
      <c r="J53" s="1" t="s">
        <v>294</v>
      </c>
    </row>
    <row r="54" spans="1:10" x14ac:dyDescent="0.25">
      <c r="A54" s="1" t="s">
        <v>173</v>
      </c>
      <c r="B54" s="1" t="s">
        <v>36</v>
      </c>
      <c r="C54" s="1" t="s">
        <v>36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174</v>
      </c>
      <c r="I54" s="1" t="s">
        <v>175</v>
      </c>
      <c r="J54" s="1" t="s">
        <v>294</v>
      </c>
    </row>
    <row r="55" spans="1:10" x14ac:dyDescent="0.25">
      <c r="A55" s="1" t="s">
        <v>176</v>
      </c>
      <c r="B55" s="1" t="s">
        <v>36</v>
      </c>
      <c r="C55" s="1" t="s">
        <v>36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177</v>
      </c>
      <c r="I55" s="1" t="s">
        <v>178</v>
      </c>
      <c r="J55" s="1" t="s">
        <v>294</v>
      </c>
    </row>
    <row r="56" spans="1:10" x14ac:dyDescent="0.25">
      <c r="A56" s="1" t="s">
        <v>179</v>
      </c>
      <c r="B56" s="1" t="s">
        <v>36</v>
      </c>
      <c r="C56" s="1" t="s">
        <v>36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180</v>
      </c>
      <c r="I56" s="1" t="s">
        <v>181</v>
      </c>
      <c r="J56" s="1" t="s">
        <v>294</v>
      </c>
    </row>
    <row r="57" spans="1:10" x14ac:dyDescent="0.25">
      <c r="A57" s="1" t="s">
        <v>182</v>
      </c>
      <c r="B57" s="1" t="s">
        <v>36</v>
      </c>
      <c r="C57" s="1" t="s">
        <v>36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183</v>
      </c>
      <c r="I57" s="1" t="s">
        <v>184</v>
      </c>
      <c r="J57" s="1" t="s">
        <v>294</v>
      </c>
    </row>
    <row r="58" spans="1:10" x14ac:dyDescent="0.25">
      <c r="A58" s="1" t="s">
        <v>185</v>
      </c>
      <c r="B58" s="1" t="s">
        <v>36</v>
      </c>
      <c r="C58" s="1" t="s">
        <v>36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113</v>
      </c>
      <c r="I58" s="1" t="s">
        <v>186</v>
      </c>
      <c r="J58" s="1" t="s">
        <v>294</v>
      </c>
    </row>
    <row r="59" spans="1:10" x14ac:dyDescent="0.25">
      <c r="A59" s="1" t="s">
        <v>187</v>
      </c>
      <c r="B59" s="1" t="s">
        <v>36</v>
      </c>
      <c r="C59" s="1" t="s">
        <v>36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188</v>
      </c>
      <c r="I59" s="1" t="s">
        <v>189</v>
      </c>
      <c r="J59" s="1" t="s">
        <v>294</v>
      </c>
    </row>
    <row r="60" spans="1:10" x14ac:dyDescent="0.25">
      <c r="A60" s="1" t="s">
        <v>190</v>
      </c>
      <c r="B60" s="1" t="s">
        <v>36</v>
      </c>
      <c r="C60" s="1" t="s">
        <v>36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191</v>
      </c>
      <c r="I60" s="1" t="s">
        <v>192</v>
      </c>
      <c r="J60" s="1" t="s">
        <v>294</v>
      </c>
    </row>
    <row r="61" spans="1:10" x14ac:dyDescent="0.25">
      <c r="A61" s="1" t="s">
        <v>193</v>
      </c>
      <c r="B61" s="1" t="s">
        <v>36</v>
      </c>
      <c r="C61" s="1" t="s">
        <v>36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194</v>
      </c>
      <c r="I61" s="1" t="s">
        <v>195</v>
      </c>
      <c r="J61" s="1" t="s">
        <v>294</v>
      </c>
    </row>
    <row r="62" spans="1:10" x14ac:dyDescent="0.25">
      <c r="A62" s="1" t="s">
        <v>196</v>
      </c>
      <c r="B62" s="1" t="s">
        <v>36</v>
      </c>
      <c r="C62" s="1" t="s">
        <v>21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197</v>
      </c>
      <c r="I62" s="1" t="s">
        <v>198</v>
      </c>
      <c r="J62" s="1" t="s">
        <v>294</v>
      </c>
    </row>
    <row r="63" spans="1:10" x14ac:dyDescent="0.25">
      <c r="A63" s="1" t="s">
        <v>199</v>
      </c>
      <c r="B63" s="1" t="s">
        <v>36</v>
      </c>
      <c r="C63" s="1" t="s">
        <v>36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200</v>
      </c>
      <c r="I63" s="1" t="s">
        <v>201</v>
      </c>
      <c r="J63" s="1" t="s">
        <v>294</v>
      </c>
    </row>
    <row r="64" spans="1:10" x14ac:dyDescent="0.25">
      <c r="A64" s="1" t="s">
        <v>202</v>
      </c>
      <c r="B64" s="1" t="s">
        <v>36</v>
      </c>
      <c r="C64" s="1" t="s">
        <v>36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203</v>
      </c>
      <c r="I64" s="1" t="s">
        <v>204</v>
      </c>
      <c r="J64" s="1" t="s">
        <v>294</v>
      </c>
    </row>
    <row r="65" spans="1:10" x14ac:dyDescent="0.25">
      <c r="A65" s="1" t="s">
        <v>205</v>
      </c>
      <c r="B65" s="1" t="s">
        <v>36</v>
      </c>
      <c r="C65" s="1" t="s">
        <v>36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195</v>
      </c>
      <c r="I65" s="1" t="s">
        <v>206</v>
      </c>
      <c r="J65" s="1" t="s">
        <v>294</v>
      </c>
    </row>
    <row r="66" spans="1:10" x14ac:dyDescent="0.25">
      <c r="A66" s="1" t="s">
        <v>207</v>
      </c>
      <c r="B66" s="1" t="s">
        <v>36</v>
      </c>
      <c r="C66" s="1" t="s">
        <v>36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208</v>
      </c>
      <c r="I66" s="1" t="s">
        <v>209</v>
      </c>
      <c r="J66" s="1" t="s">
        <v>294</v>
      </c>
    </row>
    <row r="67" spans="1:10" x14ac:dyDescent="0.25">
      <c r="A67" s="1" t="s">
        <v>210</v>
      </c>
      <c r="B67" s="1" t="s">
        <v>36</v>
      </c>
      <c r="C67" s="1" t="s">
        <v>36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211</v>
      </c>
      <c r="I67" s="1" t="s">
        <v>212</v>
      </c>
      <c r="J67" s="1" t="s">
        <v>294</v>
      </c>
    </row>
    <row r="68" spans="1:10" x14ac:dyDescent="0.25">
      <c r="A68" s="1" t="s">
        <v>213</v>
      </c>
      <c r="B68" s="1" t="s">
        <v>36</v>
      </c>
      <c r="C68" s="1" t="s">
        <v>36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214</v>
      </c>
      <c r="I68" s="1" t="s">
        <v>215</v>
      </c>
      <c r="J68" s="1" t="s">
        <v>294</v>
      </c>
    </row>
    <row r="69" spans="1:10" x14ac:dyDescent="0.25">
      <c r="A69" s="1" t="s">
        <v>216</v>
      </c>
      <c r="B69" s="1" t="s">
        <v>36</v>
      </c>
      <c r="C69" s="1" t="s">
        <v>36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217</v>
      </c>
      <c r="I69" s="1" t="s">
        <v>218</v>
      </c>
      <c r="J69" s="1" t="s">
        <v>294</v>
      </c>
    </row>
    <row r="70" spans="1:10" x14ac:dyDescent="0.25">
      <c r="A70" s="1" t="s">
        <v>219</v>
      </c>
      <c r="B70" s="1" t="s">
        <v>36</v>
      </c>
      <c r="C70" s="1" t="s">
        <v>36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220</v>
      </c>
      <c r="I70" s="1" t="s">
        <v>221</v>
      </c>
      <c r="J70" s="1" t="s">
        <v>294</v>
      </c>
    </row>
    <row r="71" spans="1:10" x14ac:dyDescent="0.25">
      <c r="A71" s="1" t="s">
        <v>222</v>
      </c>
      <c r="B71" s="1" t="s">
        <v>36</v>
      </c>
      <c r="C71" s="1" t="s">
        <v>36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223</v>
      </c>
      <c r="I71" s="1" t="s">
        <v>224</v>
      </c>
      <c r="J71" s="1" t="s">
        <v>294</v>
      </c>
    </row>
    <row r="72" spans="1:10" x14ac:dyDescent="0.25">
      <c r="A72" s="1" t="s">
        <v>225</v>
      </c>
      <c r="B72" s="1" t="s">
        <v>36</v>
      </c>
      <c r="C72" s="1" t="s">
        <v>36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226</v>
      </c>
      <c r="I72" s="1" t="s">
        <v>227</v>
      </c>
      <c r="J72" s="1" t="s">
        <v>294</v>
      </c>
    </row>
    <row r="73" spans="1:10" x14ac:dyDescent="0.25">
      <c r="A73" s="1" t="s">
        <v>228</v>
      </c>
      <c r="B73" s="1" t="s">
        <v>36</v>
      </c>
      <c r="C73" s="1" t="s">
        <v>21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229</v>
      </c>
      <c r="I73" s="1" t="s">
        <v>230</v>
      </c>
      <c r="J73" s="1" t="s">
        <v>294</v>
      </c>
    </row>
    <row r="74" spans="1:10" x14ac:dyDescent="0.25">
      <c r="A74" s="1" t="s">
        <v>231</v>
      </c>
      <c r="B74" s="1" t="s">
        <v>36</v>
      </c>
      <c r="C74" s="1" t="s">
        <v>36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232</v>
      </c>
      <c r="I74" s="1" t="s">
        <v>233</v>
      </c>
      <c r="J74" s="1" t="s">
        <v>294</v>
      </c>
    </row>
    <row r="75" spans="1:10" x14ac:dyDescent="0.25">
      <c r="A75" s="1" t="s">
        <v>234</v>
      </c>
      <c r="B75" s="1" t="s">
        <v>36</v>
      </c>
      <c r="C75" s="1" t="s">
        <v>36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235</v>
      </c>
      <c r="I75" s="1" t="s">
        <v>236</v>
      </c>
      <c r="J75" s="1" t="s">
        <v>294</v>
      </c>
    </row>
    <row r="76" spans="1:10" x14ac:dyDescent="0.25">
      <c r="A76" s="1" t="s">
        <v>237</v>
      </c>
      <c r="B76" s="1" t="s">
        <v>36</v>
      </c>
      <c r="C76" s="1" t="s">
        <v>36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238</v>
      </c>
      <c r="I76" s="1" t="s">
        <v>239</v>
      </c>
      <c r="J76" s="1" t="s">
        <v>294</v>
      </c>
    </row>
    <row r="77" spans="1:10" x14ac:dyDescent="0.25">
      <c r="A77" s="1" t="s">
        <v>240</v>
      </c>
      <c r="B77" s="1" t="s">
        <v>36</v>
      </c>
      <c r="C77" s="1" t="s">
        <v>36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241</v>
      </c>
      <c r="I77" s="1" t="s">
        <v>242</v>
      </c>
      <c r="J77" s="1" t="s">
        <v>294</v>
      </c>
    </row>
    <row r="78" spans="1:10" x14ac:dyDescent="0.25">
      <c r="A78" s="1" t="s">
        <v>243</v>
      </c>
      <c r="B78" s="1" t="s">
        <v>36</v>
      </c>
      <c r="C78" s="1" t="s">
        <v>36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244</v>
      </c>
      <c r="I78" s="1" t="s">
        <v>245</v>
      </c>
      <c r="J78" s="1" t="s">
        <v>294</v>
      </c>
    </row>
    <row r="79" spans="1:10" x14ac:dyDescent="0.25">
      <c r="A79" s="1" t="s">
        <v>246</v>
      </c>
      <c r="B79" s="1" t="s">
        <v>36</v>
      </c>
      <c r="C79" s="1" t="s">
        <v>36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247</v>
      </c>
      <c r="I79" s="1" t="s">
        <v>248</v>
      </c>
      <c r="J79" s="1" t="s">
        <v>294</v>
      </c>
    </row>
    <row r="80" spans="1:10" x14ac:dyDescent="0.25">
      <c r="A80" s="1" t="s">
        <v>249</v>
      </c>
      <c r="B80" s="1" t="s">
        <v>36</v>
      </c>
      <c r="C80" s="1" t="s">
        <v>36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250</v>
      </c>
      <c r="I80" s="1" t="s">
        <v>251</v>
      </c>
      <c r="J80" s="1" t="s">
        <v>294</v>
      </c>
    </row>
    <row r="81" spans="1:10" x14ac:dyDescent="0.25">
      <c r="A81" s="1" t="s">
        <v>252</v>
      </c>
      <c r="B81" s="1" t="s">
        <v>36</v>
      </c>
      <c r="C81" s="1" t="s">
        <v>36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253</v>
      </c>
      <c r="I81" s="1" t="s">
        <v>254</v>
      </c>
      <c r="J81" s="1" t="s">
        <v>294</v>
      </c>
    </row>
    <row r="82" spans="1:10" x14ac:dyDescent="0.25">
      <c r="A82" s="1" t="s">
        <v>255</v>
      </c>
      <c r="B82" s="1" t="s">
        <v>36</v>
      </c>
      <c r="C82" s="1" t="s">
        <v>36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256</v>
      </c>
      <c r="I82" s="1" t="s">
        <v>257</v>
      </c>
      <c r="J82" s="1" t="s">
        <v>294</v>
      </c>
    </row>
    <row r="83" spans="1:10" x14ac:dyDescent="0.25">
      <c r="A83" s="1" t="s">
        <v>258</v>
      </c>
      <c r="B83" s="1" t="s">
        <v>36</v>
      </c>
      <c r="C83" s="1" t="s">
        <v>21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259</v>
      </c>
      <c r="I83" s="1" t="s">
        <v>260</v>
      </c>
      <c r="J83" s="1" t="s">
        <v>294</v>
      </c>
    </row>
    <row r="84" spans="1:10" x14ac:dyDescent="0.25">
      <c r="A84" s="1" t="s">
        <v>261</v>
      </c>
      <c r="B84" s="1" t="s">
        <v>36</v>
      </c>
      <c r="C84" s="1" t="s">
        <v>36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262</v>
      </c>
      <c r="I84" s="1" t="s">
        <v>263</v>
      </c>
      <c r="J84" s="1" t="s">
        <v>294</v>
      </c>
    </row>
    <row r="85" spans="1:10" x14ac:dyDescent="0.25">
      <c r="A85" s="1" t="s">
        <v>264</v>
      </c>
      <c r="B85" s="1" t="s">
        <v>36</v>
      </c>
      <c r="C85" s="1" t="s">
        <v>36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265</v>
      </c>
      <c r="I85" s="1" t="s">
        <v>266</v>
      </c>
      <c r="J85" s="1" t="s">
        <v>294</v>
      </c>
    </row>
    <row r="86" spans="1:10" x14ac:dyDescent="0.25">
      <c r="A86" s="1" t="s">
        <v>267</v>
      </c>
      <c r="B86" s="1" t="s">
        <v>36</v>
      </c>
      <c r="C86" s="1" t="s">
        <v>21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268</v>
      </c>
      <c r="I86" s="1" t="s">
        <v>91</v>
      </c>
      <c r="J86" s="1" t="s">
        <v>294</v>
      </c>
    </row>
    <row r="87" spans="1:10" x14ac:dyDescent="0.25">
      <c r="A87" s="1" t="s">
        <v>269</v>
      </c>
      <c r="B87" s="1" t="s">
        <v>36</v>
      </c>
      <c r="C87" s="1" t="s">
        <v>36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270</v>
      </c>
      <c r="I87" s="1" t="s">
        <v>271</v>
      </c>
      <c r="J87" s="1" t="s">
        <v>294</v>
      </c>
    </row>
    <row r="88" spans="1:10" x14ac:dyDescent="0.25">
      <c r="A88" s="1" t="s">
        <v>272</v>
      </c>
      <c r="B88" s="1" t="s">
        <v>36</v>
      </c>
      <c r="C88" s="1" t="s">
        <v>36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273</v>
      </c>
      <c r="I88" s="1" t="s">
        <v>274</v>
      </c>
      <c r="J88" s="1" t="s">
        <v>294</v>
      </c>
    </row>
    <row r="89" spans="1:10" x14ac:dyDescent="0.25">
      <c r="A89" s="1" t="s">
        <v>275</v>
      </c>
      <c r="B89" s="1" t="s">
        <v>36</v>
      </c>
      <c r="C89" s="1" t="s">
        <v>36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276</v>
      </c>
      <c r="I89" s="1" t="s">
        <v>277</v>
      </c>
      <c r="J89" s="1" t="s">
        <v>294</v>
      </c>
    </row>
    <row r="90" spans="1:10" x14ac:dyDescent="0.25">
      <c r="A90" s="1" t="s">
        <v>278</v>
      </c>
      <c r="B90" s="1" t="s">
        <v>36</v>
      </c>
      <c r="C90" s="1" t="s">
        <v>36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191</v>
      </c>
      <c r="I90" s="1" t="s">
        <v>279</v>
      </c>
      <c r="J90" s="1" t="s">
        <v>294</v>
      </c>
    </row>
    <row r="91" spans="1:10" x14ac:dyDescent="0.25">
      <c r="A91" s="1" t="s">
        <v>280</v>
      </c>
      <c r="B91" s="1" t="s">
        <v>36</v>
      </c>
      <c r="C91" s="1" t="s">
        <v>36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281</v>
      </c>
      <c r="I91" s="1" t="s">
        <v>282</v>
      </c>
      <c r="J91" s="1" t="s">
        <v>294</v>
      </c>
    </row>
    <row r="92" spans="1:10" x14ac:dyDescent="0.25">
      <c r="A92" s="1" t="s">
        <v>283</v>
      </c>
      <c r="B92" s="1" t="s">
        <v>36</v>
      </c>
      <c r="C92" s="1" t="s">
        <v>36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284</v>
      </c>
      <c r="I92" s="1" t="s">
        <v>285</v>
      </c>
      <c r="J92" s="1" t="s">
        <v>294</v>
      </c>
    </row>
    <row r="93" spans="1:10" x14ac:dyDescent="0.25">
      <c r="A93" s="1" t="s">
        <v>286</v>
      </c>
      <c r="B93" s="1" t="s">
        <v>36</v>
      </c>
      <c r="C93" s="1" t="s">
        <v>36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287</v>
      </c>
      <c r="I93" s="1" t="s">
        <v>288</v>
      </c>
      <c r="J93" s="1" t="s">
        <v>294</v>
      </c>
    </row>
    <row r="94" spans="1:10" x14ac:dyDescent="0.25">
      <c r="A94" s="1" t="s">
        <v>289</v>
      </c>
      <c r="B94" s="1" t="s">
        <v>36</v>
      </c>
      <c r="C94" s="1" t="s">
        <v>36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290</v>
      </c>
      <c r="I94" s="1" t="s">
        <v>291</v>
      </c>
      <c r="J94" s="1" t="s">
        <v>294</v>
      </c>
    </row>
    <row r="95" spans="1:10" x14ac:dyDescent="0.25">
      <c r="A95" s="1" t="s">
        <v>292</v>
      </c>
      <c r="B95" s="1" t="s">
        <v>36</v>
      </c>
      <c r="C95" s="1" t="s">
        <v>36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293</v>
      </c>
      <c r="I95" s="1" t="s">
        <v>239</v>
      </c>
      <c r="J95" s="1" t="s">
        <v>294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526E-32EE-49B5-9B69-6B5F89F109D3}">
  <dimension ref="A1:O95"/>
  <sheetViews>
    <sheetView workbookViewId="0">
      <selection activeCell="M1" sqref="M1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  <col min="12" max="12" width="9.28515625" customWidth="1"/>
    <col min="13" max="13" width="1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/>
      <c r="N1" s="2" t="s">
        <v>21</v>
      </c>
      <c r="O1" s="2" t="s">
        <v>36</v>
      </c>
    </row>
    <row r="2" spans="1:1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M2" s="2" t="s">
        <v>304</v>
      </c>
      <c r="N2">
        <f>COUNTIFS(B:B, "CLOSED", C:C, "CLOSED")</f>
        <v>25</v>
      </c>
      <c r="O2">
        <f>COUNTIFS(B:B, "OPEN", C:C, "OPEN")</f>
        <v>47</v>
      </c>
    </row>
    <row r="3" spans="1:15" x14ac:dyDescent="0.25">
      <c r="A3" s="1" t="s">
        <v>20</v>
      </c>
      <c r="B3" s="1" t="s">
        <v>21</v>
      </c>
      <c r="C3" s="1" t="s">
        <v>21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23</v>
      </c>
      <c r="I3" s="1" t="s">
        <v>24</v>
      </c>
      <c r="J3" s="1" t="s">
        <v>25</v>
      </c>
      <c r="M3" s="2" t="s">
        <v>305</v>
      </c>
      <c r="N3">
        <f>COUNTIFS(B:B, "CLOSED")</f>
        <v>44</v>
      </c>
      <c r="O3">
        <f>COUNTIFS(B:B, "OPEN")</f>
        <v>49</v>
      </c>
    </row>
    <row r="4" spans="1:15" x14ac:dyDescent="0.25">
      <c r="A4" s="1" t="s">
        <v>26</v>
      </c>
      <c r="B4" s="1" t="s">
        <v>21</v>
      </c>
      <c r="C4" s="1" t="s">
        <v>21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27</v>
      </c>
      <c r="I4" s="1" t="s">
        <v>28</v>
      </c>
      <c r="J4" s="1" t="s">
        <v>25</v>
      </c>
      <c r="M4" s="2" t="s">
        <v>306</v>
      </c>
      <c r="N4">
        <f>N2/N3</f>
        <v>0.56818181818181823</v>
      </c>
      <c r="O4">
        <f>O2/O3</f>
        <v>0.95918367346938771</v>
      </c>
    </row>
    <row r="5" spans="1:15" x14ac:dyDescent="0.25">
      <c r="A5" s="1" t="s">
        <v>29</v>
      </c>
      <c r="B5" s="1" t="s">
        <v>21</v>
      </c>
      <c r="C5" s="1" t="s">
        <v>21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30</v>
      </c>
      <c r="I5" s="1" t="s">
        <v>31</v>
      </c>
      <c r="J5" s="1" t="s">
        <v>25</v>
      </c>
    </row>
    <row r="6" spans="1:15" x14ac:dyDescent="0.25">
      <c r="A6" s="1" t="s">
        <v>32</v>
      </c>
      <c r="B6" s="1" t="s">
        <v>21</v>
      </c>
      <c r="C6" s="1" t="s">
        <v>21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33</v>
      </c>
      <c r="I6" s="1" t="s">
        <v>34</v>
      </c>
      <c r="J6" s="1" t="s">
        <v>25</v>
      </c>
    </row>
    <row r="7" spans="1:15" x14ac:dyDescent="0.25">
      <c r="A7" s="1" t="s">
        <v>35</v>
      </c>
      <c r="B7" s="1" t="s">
        <v>21</v>
      </c>
      <c r="C7" s="1" t="s">
        <v>36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37</v>
      </c>
      <c r="I7" s="1" t="s">
        <v>38</v>
      </c>
      <c r="J7" s="1" t="s">
        <v>25</v>
      </c>
    </row>
    <row r="8" spans="1:15" x14ac:dyDescent="0.25">
      <c r="A8" s="1" t="s">
        <v>39</v>
      </c>
      <c r="B8" s="1" t="s">
        <v>21</v>
      </c>
      <c r="C8" s="1" t="s">
        <v>21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40</v>
      </c>
      <c r="I8" s="1" t="s">
        <v>41</v>
      </c>
      <c r="J8" s="1" t="s">
        <v>25</v>
      </c>
    </row>
    <row r="9" spans="1:15" x14ac:dyDescent="0.25">
      <c r="A9" s="1" t="s">
        <v>42</v>
      </c>
      <c r="B9" s="1" t="s">
        <v>21</v>
      </c>
      <c r="C9" s="1" t="s">
        <v>21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23</v>
      </c>
      <c r="I9" s="1" t="s">
        <v>43</v>
      </c>
      <c r="J9" s="1" t="s">
        <v>25</v>
      </c>
    </row>
    <row r="10" spans="1:15" x14ac:dyDescent="0.25">
      <c r="A10" s="1" t="s">
        <v>44</v>
      </c>
      <c r="B10" s="1" t="s">
        <v>21</v>
      </c>
      <c r="C10" s="1" t="s">
        <v>21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45</v>
      </c>
      <c r="I10" s="1" t="s">
        <v>46</v>
      </c>
      <c r="J10" s="1" t="s">
        <v>25</v>
      </c>
    </row>
    <row r="11" spans="1:15" x14ac:dyDescent="0.25">
      <c r="A11" s="1" t="s">
        <v>47</v>
      </c>
      <c r="B11" s="1" t="s">
        <v>21</v>
      </c>
      <c r="C11" s="1" t="s">
        <v>21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48</v>
      </c>
      <c r="I11" s="1" t="s">
        <v>49</v>
      </c>
      <c r="J11" s="1" t="s">
        <v>25</v>
      </c>
    </row>
    <row r="12" spans="1:15" x14ac:dyDescent="0.25">
      <c r="A12" s="1" t="s">
        <v>50</v>
      </c>
      <c r="B12" s="1" t="s">
        <v>21</v>
      </c>
      <c r="C12" s="1" t="s">
        <v>21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51</v>
      </c>
      <c r="I12" s="1" t="s">
        <v>52</v>
      </c>
      <c r="J12" s="1" t="s">
        <v>25</v>
      </c>
    </row>
    <row r="13" spans="1:15" x14ac:dyDescent="0.25">
      <c r="A13" s="1" t="s">
        <v>53</v>
      </c>
      <c r="B13" s="1" t="s">
        <v>21</v>
      </c>
      <c r="C13" s="1" t="s">
        <v>21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54</v>
      </c>
      <c r="I13" s="1" t="s">
        <v>55</v>
      </c>
      <c r="J13" s="1" t="s">
        <v>25</v>
      </c>
    </row>
    <row r="14" spans="1:15" x14ac:dyDescent="0.25">
      <c r="A14" s="1" t="s">
        <v>56</v>
      </c>
      <c r="B14" s="1" t="s">
        <v>21</v>
      </c>
      <c r="C14" s="1" t="s">
        <v>21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57</v>
      </c>
      <c r="I14" s="1" t="s">
        <v>58</v>
      </c>
      <c r="J14" s="1" t="s">
        <v>25</v>
      </c>
    </row>
    <row r="15" spans="1:15" x14ac:dyDescent="0.25">
      <c r="A15" s="1" t="s">
        <v>59</v>
      </c>
      <c r="B15" s="1" t="s">
        <v>21</v>
      </c>
      <c r="C15" s="1" t="s">
        <v>36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60</v>
      </c>
      <c r="I15" s="1" t="s">
        <v>61</v>
      </c>
      <c r="J15" s="1" t="s">
        <v>25</v>
      </c>
    </row>
    <row r="16" spans="1:15" x14ac:dyDescent="0.25">
      <c r="A16" s="1" t="s">
        <v>62</v>
      </c>
      <c r="B16" s="1" t="s">
        <v>21</v>
      </c>
      <c r="C16" s="1" t="s">
        <v>36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63</v>
      </c>
      <c r="I16" s="1" t="s">
        <v>64</v>
      </c>
      <c r="J16" s="1" t="s">
        <v>25</v>
      </c>
    </row>
    <row r="17" spans="1:10" x14ac:dyDescent="0.25">
      <c r="A17" s="1" t="s">
        <v>65</v>
      </c>
      <c r="B17" s="1" t="s">
        <v>21</v>
      </c>
      <c r="C17" s="1" t="s">
        <v>36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66</v>
      </c>
      <c r="I17" s="1" t="s">
        <v>67</v>
      </c>
      <c r="J17" s="1" t="s">
        <v>25</v>
      </c>
    </row>
    <row r="18" spans="1:10" x14ac:dyDescent="0.25">
      <c r="A18" s="1" t="s">
        <v>68</v>
      </c>
      <c r="B18" s="1" t="s">
        <v>21</v>
      </c>
      <c r="C18" s="1" t="s">
        <v>21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69</v>
      </c>
      <c r="I18" s="1" t="s">
        <v>70</v>
      </c>
      <c r="J18" s="1" t="s">
        <v>25</v>
      </c>
    </row>
    <row r="19" spans="1:10" x14ac:dyDescent="0.25">
      <c r="A19" s="1" t="s">
        <v>71</v>
      </c>
      <c r="B19" s="1" t="s">
        <v>21</v>
      </c>
      <c r="C19" s="1" t="s">
        <v>36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72</v>
      </c>
      <c r="I19" s="1" t="s">
        <v>73</v>
      </c>
      <c r="J19" s="1" t="s">
        <v>25</v>
      </c>
    </row>
    <row r="20" spans="1:10" x14ac:dyDescent="0.25">
      <c r="A20" s="1" t="s">
        <v>74</v>
      </c>
      <c r="B20" s="1" t="s">
        <v>21</v>
      </c>
      <c r="C20" s="1" t="s">
        <v>36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75</v>
      </c>
      <c r="I20" s="1" t="s">
        <v>76</v>
      </c>
      <c r="J20" s="1" t="s">
        <v>25</v>
      </c>
    </row>
    <row r="21" spans="1:10" x14ac:dyDescent="0.25">
      <c r="A21" s="1" t="s">
        <v>77</v>
      </c>
      <c r="B21" s="1" t="s">
        <v>21</v>
      </c>
      <c r="C21" s="1" t="s">
        <v>36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78</v>
      </c>
      <c r="I21" s="1" t="s">
        <v>79</v>
      </c>
      <c r="J21" s="1" t="s">
        <v>25</v>
      </c>
    </row>
    <row r="22" spans="1:10" x14ac:dyDescent="0.25">
      <c r="A22" s="1" t="s">
        <v>80</v>
      </c>
      <c r="B22" s="1" t="s">
        <v>21</v>
      </c>
      <c r="C22" s="1" t="s">
        <v>36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81</v>
      </c>
      <c r="I22" s="1" t="s">
        <v>82</v>
      </c>
      <c r="J22" s="1" t="s">
        <v>25</v>
      </c>
    </row>
    <row r="23" spans="1:10" x14ac:dyDescent="0.25">
      <c r="A23" s="1" t="s">
        <v>83</v>
      </c>
      <c r="B23" s="1" t="s">
        <v>21</v>
      </c>
      <c r="C23" s="1" t="s">
        <v>36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84</v>
      </c>
      <c r="I23" s="1" t="s">
        <v>85</v>
      </c>
      <c r="J23" s="1" t="s">
        <v>25</v>
      </c>
    </row>
    <row r="24" spans="1:10" x14ac:dyDescent="0.25">
      <c r="A24" s="1" t="s">
        <v>86</v>
      </c>
      <c r="B24" s="1" t="s">
        <v>21</v>
      </c>
      <c r="C24" s="1" t="s">
        <v>21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87</v>
      </c>
      <c r="I24" s="1" t="s">
        <v>88</v>
      </c>
      <c r="J24" s="1" t="s">
        <v>25</v>
      </c>
    </row>
    <row r="25" spans="1:10" x14ac:dyDescent="0.25">
      <c r="A25" s="1" t="s">
        <v>89</v>
      </c>
      <c r="B25" s="1" t="s">
        <v>21</v>
      </c>
      <c r="C25" s="1" t="s">
        <v>36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90</v>
      </c>
      <c r="I25" s="1" t="s">
        <v>91</v>
      </c>
      <c r="J25" s="1" t="s">
        <v>25</v>
      </c>
    </row>
    <row r="26" spans="1:10" x14ac:dyDescent="0.25">
      <c r="A26" s="1" t="s">
        <v>92</v>
      </c>
      <c r="B26" s="1" t="s">
        <v>21</v>
      </c>
      <c r="C26" s="1" t="s">
        <v>36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93</v>
      </c>
      <c r="I26" s="1" t="s">
        <v>94</v>
      </c>
      <c r="J26" s="1" t="s">
        <v>25</v>
      </c>
    </row>
    <row r="27" spans="1:10" x14ac:dyDescent="0.25">
      <c r="A27" s="1" t="s">
        <v>95</v>
      </c>
      <c r="B27" s="1" t="s">
        <v>21</v>
      </c>
      <c r="C27" s="1" t="s">
        <v>21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96</v>
      </c>
      <c r="I27" s="1" t="s">
        <v>97</v>
      </c>
      <c r="J27" s="1" t="s">
        <v>25</v>
      </c>
    </row>
    <row r="28" spans="1:10" x14ac:dyDescent="0.25">
      <c r="A28" s="1" t="s">
        <v>98</v>
      </c>
      <c r="B28" s="1" t="s">
        <v>21</v>
      </c>
      <c r="C28" s="1" t="s">
        <v>36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99</v>
      </c>
      <c r="I28" s="1" t="s">
        <v>100</v>
      </c>
      <c r="J28" s="1" t="s">
        <v>25</v>
      </c>
    </row>
    <row r="29" spans="1:10" x14ac:dyDescent="0.25">
      <c r="A29" s="1" t="s">
        <v>101</v>
      </c>
      <c r="B29" s="1" t="s">
        <v>21</v>
      </c>
      <c r="C29" s="1" t="s">
        <v>36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102</v>
      </c>
      <c r="I29" s="1" t="s">
        <v>103</v>
      </c>
      <c r="J29" s="1" t="s">
        <v>25</v>
      </c>
    </row>
    <row r="30" spans="1:10" x14ac:dyDescent="0.25">
      <c r="A30" s="1" t="s">
        <v>104</v>
      </c>
      <c r="B30" s="1" t="s">
        <v>21</v>
      </c>
      <c r="C30" s="1" t="s">
        <v>36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105</v>
      </c>
      <c r="I30" s="1" t="s">
        <v>81</v>
      </c>
      <c r="J30" s="1" t="s">
        <v>25</v>
      </c>
    </row>
    <row r="31" spans="1:10" x14ac:dyDescent="0.25">
      <c r="A31" s="1" t="s">
        <v>106</v>
      </c>
      <c r="B31" s="1" t="s">
        <v>21</v>
      </c>
      <c r="C31" s="1" t="s">
        <v>21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107</v>
      </c>
      <c r="I31" s="1" t="s">
        <v>108</v>
      </c>
      <c r="J31" s="1" t="s">
        <v>25</v>
      </c>
    </row>
    <row r="32" spans="1:10" x14ac:dyDescent="0.25">
      <c r="A32" s="1" t="s">
        <v>109</v>
      </c>
      <c r="B32" s="1" t="s">
        <v>21</v>
      </c>
      <c r="C32" s="1" t="s">
        <v>21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110</v>
      </c>
      <c r="I32" s="1" t="s">
        <v>111</v>
      </c>
      <c r="J32" s="1" t="s">
        <v>25</v>
      </c>
    </row>
    <row r="33" spans="1:10" x14ac:dyDescent="0.25">
      <c r="A33" s="1" t="s">
        <v>112</v>
      </c>
      <c r="B33" s="1" t="s">
        <v>21</v>
      </c>
      <c r="C33" s="1" t="s">
        <v>21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113</v>
      </c>
      <c r="I33" s="1" t="s">
        <v>58</v>
      </c>
      <c r="J33" s="1" t="s">
        <v>25</v>
      </c>
    </row>
    <row r="34" spans="1:10" x14ac:dyDescent="0.25">
      <c r="A34" s="1" t="s">
        <v>114</v>
      </c>
      <c r="B34" s="1" t="s">
        <v>21</v>
      </c>
      <c r="C34" s="1" t="s">
        <v>36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115</v>
      </c>
      <c r="I34" s="1" t="s">
        <v>116</v>
      </c>
      <c r="J34" s="1" t="s">
        <v>25</v>
      </c>
    </row>
    <row r="35" spans="1:10" x14ac:dyDescent="0.25">
      <c r="A35" s="1" t="s">
        <v>117</v>
      </c>
      <c r="B35" s="1" t="s">
        <v>21</v>
      </c>
      <c r="C35" s="1" t="s">
        <v>36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118</v>
      </c>
      <c r="I35" s="1" t="s">
        <v>119</v>
      </c>
      <c r="J35" s="1" t="s">
        <v>25</v>
      </c>
    </row>
    <row r="36" spans="1:10" x14ac:dyDescent="0.25">
      <c r="A36" s="1" t="s">
        <v>120</v>
      </c>
      <c r="B36" s="1" t="s">
        <v>21</v>
      </c>
      <c r="C36" s="1" t="s">
        <v>21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121</v>
      </c>
      <c r="I36" s="1" t="s">
        <v>122</v>
      </c>
      <c r="J36" s="1" t="s">
        <v>25</v>
      </c>
    </row>
    <row r="37" spans="1:10" x14ac:dyDescent="0.25">
      <c r="A37" s="1" t="s">
        <v>123</v>
      </c>
      <c r="B37" s="1" t="s">
        <v>21</v>
      </c>
      <c r="C37" s="1" t="s">
        <v>21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124</v>
      </c>
      <c r="I37" s="1" t="s">
        <v>125</v>
      </c>
      <c r="J37" s="1" t="s">
        <v>25</v>
      </c>
    </row>
    <row r="38" spans="1:10" x14ac:dyDescent="0.25">
      <c r="A38" s="1" t="s">
        <v>126</v>
      </c>
      <c r="B38" s="1" t="s">
        <v>21</v>
      </c>
      <c r="C38" s="1" t="s">
        <v>21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127</v>
      </c>
      <c r="I38" s="1" t="s">
        <v>128</v>
      </c>
      <c r="J38" s="1" t="s">
        <v>25</v>
      </c>
    </row>
    <row r="39" spans="1:10" x14ac:dyDescent="0.25">
      <c r="A39" s="1" t="s">
        <v>129</v>
      </c>
      <c r="B39" s="1" t="s">
        <v>21</v>
      </c>
      <c r="C39" s="1" t="s">
        <v>36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130</v>
      </c>
      <c r="I39" s="1" t="s">
        <v>131</v>
      </c>
      <c r="J39" s="1" t="s">
        <v>25</v>
      </c>
    </row>
    <row r="40" spans="1:10" x14ac:dyDescent="0.25">
      <c r="A40" s="1" t="s">
        <v>132</v>
      </c>
      <c r="B40" s="1" t="s">
        <v>21</v>
      </c>
      <c r="C40" s="1" t="s">
        <v>21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133</v>
      </c>
      <c r="I40" s="1" t="s">
        <v>134</v>
      </c>
      <c r="J40" s="1" t="s">
        <v>25</v>
      </c>
    </row>
    <row r="41" spans="1:10" x14ac:dyDescent="0.25">
      <c r="A41" s="1" t="s">
        <v>135</v>
      </c>
      <c r="B41" s="1" t="s">
        <v>21</v>
      </c>
      <c r="C41" s="1" t="s">
        <v>36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136</v>
      </c>
      <c r="I41" s="1" t="s">
        <v>137</v>
      </c>
      <c r="J41" s="1" t="s">
        <v>25</v>
      </c>
    </row>
    <row r="42" spans="1:10" x14ac:dyDescent="0.25">
      <c r="A42" s="1" t="s">
        <v>138</v>
      </c>
      <c r="B42" s="1" t="s">
        <v>21</v>
      </c>
      <c r="C42" s="1" t="s">
        <v>21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139</v>
      </c>
      <c r="I42" s="1" t="s">
        <v>140</v>
      </c>
      <c r="J42" s="1" t="s">
        <v>25</v>
      </c>
    </row>
    <row r="43" spans="1:10" x14ac:dyDescent="0.25">
      <c r="A43" s="1" t="s">
        <v>141</v>
      </c>
      <c r="B43" s="1" t="s">
        <v>21</v>
      </c>
      <c r="C43" s="1" t="s">
        <v>21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142</v>
      </c>
      <c r="I43" s="1" t="s">
        <v>143</v>
      </c>
      <c r="J43" s="1" t="s">
        <v>25</v>
      </c>
    </row>
    <row r="44" spans="1:10" x14ac:dyDescent="0.25">
      <c r="A44" s="1" t="s">
        <v>144</v>
      </c>
      <c r="B44" s="1" t="s">
        <v>21</v>
      </c>
      <c r="C44" s="1" t="s">
        <v>21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145</v>
      </c>
      <c r="I44" s="1" t="s">
        <v>146</v>
      </c>
      <c r="J44" s="1" t="s">
        <v>25</v>
      </c>
    </row>
    <row r="45" spans="1:10" x14ac:dyDescent="0.25">
      <c r="A45" s="1" t="s">
        <v>147</v>
      </c>
      <c r="B45" s="1" t="s">
        <v>21</v>
      </c>
      <c r="C45" s="1" t="s">
        <v>36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148</v>
      </c>
      <c r="I45" s="1" t="s">
        <v>149</v>
      </c>
      <c r="J45" s="1" t="s">
        <v>25</v>
      </c>
    </row>
    <row r="46" spans="1:10" x14ac:dyDescent="0.25">
      <c r="A46" s="1" t="s">
        <v>150</v>
      </c>
      <c r="B46" s="1" t="s">
        <v>21</v>
      </c>
      <c r="C46" s="1" t="s">
        <v>21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146</v>
      </c>
      <c r="I46" s="1" t="s">
        <v>151</v>
      </c>
      <c r="J46" s="1" t="s">
        <v>25</v>
      </c>
    </row>
    <row r="47" spans="1:10" x14ac:dyDescent="0.25">
      <c r="A47" s="1" t="s">
        <v>152</v>
      </c>
      <c r="B47" s="1" t="s">
        <v>36</v>
      </c>
      <c r="C47" s="1" t="s">
        <v>36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153</v>
      </c>
      <c r="I47" s="1" t="s">
        <v>154</v>
      </c>
      <c r="J47" s="1" t="s">
        <v>25</v>
      </c>
    </row>
    <row r="48" spans="1:10" x14ac:dyDescent="0.25">
      <c r="A48" s="1" t="s">
        <v>155</v>
      </c>
      <c r="B48" s="1" t="s">
        <v>36</v>
      </c>
      <c r="C48" s="1" t="s">
        <v>36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156</v>
      </c>
      <c r="I48" s="1" t="s">
        <v>157</v>
      </c>
      <c r="J48" s="1" t="s">
        <v>25</v>
      </c>
    </row>
    <row r="49" spans="1:10" x14ac:dyDescent="0.25">
      <c r="A49" s="1" t="s">
        <v>158</v>
      </c>
      <c r="B49" s="1" t="s">
        <v>36</v>
      </c>
      <c r="C49" s="1" t="s">
        <v>21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159</v>
      </c>
      <c r="I49" s="1" t="s">
        <v>160</v>
      </c>
      <c r="J49" s="1" t="s">
        <v>25</v>
      </c>
    </row>
    <row r="50" spans="1:10" x14ac:dyDescent="0.25">
      <c r="A50" s="1" t="s">
        <v>161</v>
      </c>
      <c r="B50" s="1" t="s">
        <v>36</v>
      </c>
      <c r="C50" s="1" t="s">
        <v>36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162</v>
      </c>
      <c r="I50" s="1" t="s">
        <v>163</v>
      </c>
      <c r="J50" s="1" t="s">
        <v>25</v>
      </c>
    </row>
    <row r="51" spans="1:10" x14ac:dyDescent="0.25">
      <c r="A51" s="1" t="s">
        <v>164</v>
      </c>
      <c r="B51" s="1" t="s">
        <v>36</v>
      </c>
      <c r="C51" s="1" t="s">
        <v>36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165</v>
      </c>
      <c r="I51" s="1" t="s">
        <v>166</v>
      </c>
      <c r="J51" s="1" t="s">
        <v>25</v>
      </c>
    </row>
    <row r="52" spans="1:10" x14ac:dyDescent="0.25">
      <c r="A52" s="1" t="s">
        <v>167</v>
      </c>
      <c r="B52" s="1" t="s">
        <v>36</v>
      </c>
      <c r="C52" s="1" t="s">
        <v>36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168</v>
      </c>
      <c r="I52" s="1" t="s">
        <v>169</v>
      </c>
      <c r="J52" s="1" t="s">
        <v>25</v>
      </c>
    </row>
    <row r="53" spans="1:10" x14ac:dyDescent="0.25">
      <c r="A53" s="1" t="s">
        <v>170</v>
      </c>
      <c r="B53" s="1" t="s">
        <v>36</v>
      </c>
      <c r="C53" s="1" t="s">
        <v>36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171</v>
      </c>
      <c r="I53" s="1" t="s">
        <v>172</v>
      </c>
      <c r="J53" s="1" t="s">
        <v>25</v>
      </c>
    </row>
    <row r="54" spans="1:10" x14ac:dyDescent="0.25">
      <c r="A54" s="1" t="s">
        <v>173</v>
      </c>
      <c r="B54" s="1" t="s">
        <v>36</v>
      </c>
      <c r="C54" s="1" t="s">
        <v>36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174</v>
      </c>
      <c r="I54" s="1" t="s">
        <v>175</v>
      </c>
      <c r="J54" s="1" t="s">
        <v>25</v>
      </c>
    </row>
    <row r="55" spans="1:10" x14ac:dyDescent="0.25">
      <c r="A55" s="1" t="s">
        <v>176</v>
      </c>
      <c r="B55" s="1" t="s">
        <v>36</v>
      </c>
      <c r="C55" s="1" t="s">
        <v>36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177</v>
      </c>
      <c r="I55" s="1" t="s">
        <v>178</v>
      </c>
      <c r="J55" s="1" t="s">
        <v>25</v>
      </c>
    </row>
    <row r="56" spans="1:10" x14ac:dyDescent="0.25">
      <c r="A56" s="1" t="s">
        <v>179</v>
      </c>
      <c r="B56" s="1" t="s">
        <v>36</v>
      </c>
      <c r="C56" s="1" t="s">
        <v>36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180</v>
      </c>
      <c r="I56" s="1" t="s">
        <v>181</v>
      </c>
      <c r="J56" s="1" t="s">
        <v>25</v>
      </c>
    </row>
    <row r="57" spans="1:10" x14ac:dyDescent="0.25">
      <c r="A57" s="1" t="s">
        <v>182</v>
      </c>
      <c r="B57" s="1" t="s">
        <v>36</v>
      </c>
      <c r="C57" s="1" t="s">
        <v>36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183</v>
      </c>
      <c r="I57" s="1" t="s">
        <v>184</v>
      </c>
      <c r="J57" s="1" t="s">
        <v>25</v>
      </c>
    </row>
    <row r="58" spans="1:10" x14ac:dyDescent="0.25">
      <c r="A58" s="1" t="s">
        <v>185</v>
      </c>
      <c r="B58" s="1" t="s">
        <v>36</v>
      </c>
      <c r="C58" s="1" t="s">
        <v>36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113</v>
      </c>
      <c r="I58" s="1" t="s">
        <v>186</v>
      </c>
      <c r="J58" s="1" t="s">
        <v>25</v>
      </c>
    </row>
    <row r="59" spans="1:10" x14ac:dyDescent="0.25">
      <c r="A59" s="1" t="s">
        <v>187</v>
      </c>
      <c r="B59" s="1" t="s">
        <v>36</v>
      </c>
      <c r="C59" s="1" t="s">
        <v>36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188</v>
      </c>
      <c r="I59" s="1" t="s">
        <v>189</v>
      </c>
      <c r="J59" s="1" t="s">
        <v>25</v>
      </c>
    </row>
    <row r="60" spans="1:10" x14ac:dyDescent="0.25">
      <c r="A60" s="1" t="s">
        <v>190</v>
      </c>
      <c r="B60" s="1" t="s">
        <v>36</v>
      </c>
      <c r="C60" s="1" t="s">
        <v>36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191</v>
      </c>
      <c r="I60" s="1" t="s">
        <v>192</v>
      </c>
      <c r="J60" s="1" t="s">
        <v>25</v>
      </c>
    </row>
    <row r="61" spans="1:10" x14ac:dyDescent="0.25">
      <c r="A61" s="1" t="s">
        <v>193</v>
      </c>
      <c r="B61" s="1" t="s">
        <v>36</v>
      </c>
      <c r="C61" s="1" t="s">
        <v>36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194</v>
      </c>
      <c r="I61" s="1" t="s">
        <v>195</v>
      </c>
      <c r="J61" s="1" t="s">
        <v>25</v>
      </c>
    </row>
    <row r="62" spans="1:10" x14ac:dyDescent="0.25">
      <c r="A62" s="1" t="s">
        <v>196</v>
      </c>
      <c r="B62" s="1" t="s">
        <v>36</v>
      </c>
      <c r="C62" s="1" t="s">
        <v>36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197</v>
      </c>
      <c r="I62" s="1" t="s">
        <v>198</v>
      </c>
      <c r="J62" s="1" t="s">
        <v>25</v>
      </c>
    </row>
    <row r="63" spans="1:10" x14ac:dyDescent="0.25">
      <c r="A63" s="1" t="s">
        <v>199</v>
      </c>
      <c r="B63" s="1" t="s">
        <v>36</v>
      </c>
      <c r="C63" s="1" t="s">
        <v>36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200</v>
      </c>
      <c r="I63" s="1" t="s">
        <v>201</v>
      </c>
      <c r="J63" s="1" t="s">
        <v>25</v>
      </c>
    </row>
    <row r="64" spans="1:10" x14ac:dyDescent="0.25">
      <c r="A64" s="1" t="s">
        <v>202</v>
      </c>
      <c r="B64" s="1" t="s">
        <v>36</v>
      </c>
      <c r="C64" s="1" t="s">
        <v>36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203</v>
      </c>
      <c r="I64" s="1" t="s">
        <v>204</v>
      </c>
      <c r="J64" s="1" t="s">
        <v>25</v>
      </c>
    </row>
    <row r="65" spans="1:10" x14ac:dyDescent="0.25">
      <c r="A65" s="1" t="s">
        <v>205</v>
      </c>
      <c r="B65" s="1" t="s">
        <v>36</v>
      </c>
      <c r="C65" s="1" t="s">
        <v>36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195</v>
      </c>
      <c r="I65" s="1" t="s">
        <v>206</v>
      </c>
      <c r="J65" s="1" t="s">
        <v>25</v>
      </c>
    </row>
    <row r="66" spans="1:10" x14ac:dyDescent="0.25">
      <c r="A66" s="1" t="s">
        <v>207</v>
      </c>
      <c r="B66" s="1" t="s">
        <v>36</v>
      </c>
      <c r="C66" s="1" t="s">
        <v>36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208</v>
      </c>
      <c r="I66" s="1" t="s">
        <v>209</v>
      </c>
      <c r="J66" s="1" t="s">
        <v>25</v>
      </c>
    </row>
    <row r="67" spans="1:10" x14ac:dyDescent="0.25">
      <c r="A67" s="1" t="s">
        <v>210</v>
      </c>
      <c r="B67" s="1" t="s">
        <v>36</v>
      </c>
      <c r="C67" s="1" t="s">
        <v>36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211</v>
      </c>
      <c r="I67" s="1" t="s">
        <v>212</v>
      </c>
      <c r="J67" s="1" t="s">
        <v>25</v>
      </c>
    </row>
    <row r="68" spans="1:10" x14ac:dyDescent="0.25">
      <c r="A68" s="1" t="s">
        <v>213</v>
      </c>
      <c r="B68" s="1" t="s">
        <v>36</v>
      </c>
      <c r="C68" s="1" t="s">
        <v>36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214</v>
      </c>
      <c r="I68" s="1" t="s">
        <v>215</v>
      </c>
      <c r="J68" s="1" t="s">
        <v>25</v>
      </c>
    </row>
    <row r="69" spans="1:10" x14ac:dyDescent="0.25">
      <c r="A69" s="1" t="s">
        <v>216</v>
      </c>
      <c r="B69" s="1" t="s">
        <v>36</v>
      </c>
      <c r="C69" s="1" t="s">
        <v>36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217</v>
      </c>
      <c r="I69" s="1" t="s">
        <v>218</v>
      </c>
      <c r="J69" s="1" t="s">
        <v>25</v>
      </c>
    </row>
    <row r="70" spans="1:10" x14ac:dyDescent="0.25">
      <c r="A70" s="1" t="s">
        <v>219</v>
      </c>
      <c r="B70" s="1" t="s">
        <v>36</v>
      </c>
      <c r="C70" s="1" t="s">
        <v>36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220</v>
      </c>
      <c r="I70" s="1" t="s">
        <v>221</v>
      </c>
      <c r="J70" s="1" t="s">
        <v>25</v>
      </c>
    </row>
    <row r="71" spans="1:10" x14ac:dyDescent="0.25">
      <c r="A71" s="1" t="s">
        <v>222</v>
      </c>
      <c r="B71" s="1" t="s">
        <v>36</v>
      </c>
      <c r="C71" s="1" t="s">
        <v>36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223</v>
      </c>
      <c r="I71" s="1" t="s">
        <v>224</v>
      </c>
      <c r="J71" s="1" t="s">
        <v>25</v>
      </c>
    </row>
    <row r="72" spans="1:10" x14ac:dyDescent="0.25">
      <c r="A72" s="1" t="s">
        <v>225</v>
      </c>
      <c r="B72" s="1" t="s">
        <v>36</v>
      </c>
      <c r="C72" s="1" t="s">
        <v>36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226</v>
      </c>
      <c r="I72" s="1" t="s">
        <v>227</v>
      </c>
      <c r="J72" s="1" t="s">
        <v>25</v>
      </c>
    </row>
    <row r="73" spans="1:10" x14ac:dyDescent="0.25">
      <c r="A73" s="1" t="s">
        <v>228</v>
      </c>
      <c r="B73" s="1" t="s">
        <v>36</v>
      </c>
      <c r="C73" s="1" t="s">
        <v>21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229</v>
      </c>
      <c r="I73" s="1" t="s">
        <v>230</v>
      </c>
      <c r="J73" s="1" t="s">
        <v>25</v>
      </c>
    </row>
    <row r="74" spans="1:10" x14ac:dyDescent="0.25">
      <c r="A74" s="1" t="s">
        <v>231</v>
      </c>
      <c r="B74" s="1" t="s">
        <v>36</v>
      </c>
      <c r="C74" s="1" t="s">
        <v>36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232</v>
      </c>
      <c r="I74" s="1" t="s">
        <v>233</v>
      </c>
      <c r="J74" s="1" t="s">
        <v>25</v>
      </c>
    </row>
    <row r="75" spans="1:10" x14ac:dyDescent="0.25">
      <c r="A75" s="1" t="s">
        <v>234</v>
      </c>
      <c r="B75" s="1" t="s">
        <v>36</v>
      </c>
      <c r="C75" s="1" t="s">
        <v>36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235</v>
      </c>
      <c r="I75" s="1" t="s">
        <v>236</v>
      </c>
      <c r="J75" s="1" t="s">
        <v>25</v>
      </c>
    </row>
    <row r="76" spans="1:10" x14ac:dyDescent="0.25">
      <c r="A76" s="1" t="s">
        <v>237</v>
      </c>
      <c r="B76" s="1" t="s">
        <v>36</v>
      </c>
      <c r="C76" s="1" t="s">
        <v>36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238</v>
      </c>
      <c r="I76" s="1" t="s">
        <v>239</v>
      </c>
      <c r="J76" s="1" t="s">
        <v>25</v>
      </c>
    </row>
    <row r="77" spans="1:10" x14ac:dyDescent="0.25">
      <c r="A77" s="1" t="s">
        <v>240</v>
      </c>
      <c r="B77" s="1" t="s">
        <v>36</v>
      </c>
      <c r="C77" s="1" t="s">
        <v>36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241</v>
      </c>
      <c r="I77" s="1" t="s">
        <v>242</v>
      </c>
      <c r="J77" s="1" t="s">
        <v>25</v>
      </c>
    </row>
    <row r="78" spans="1:10" x14ac:dyDescent="0.25">
      <c r="A78" s="1" t="s">
        <v>243</v>
      </c>
      <c r="B78" s="1" t="s">
        <v>36</v>
      </c>
      <c r="C78" s="1" t="s">
        <v>36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244</v>
      </c>
      <c r="I78" s="1" t="s">
        <v>245</v>
      </c>
      <c r="J78" s="1" t="s">
        <v>25</v>
      </c>
    </row>
    <row r="79" spans="1:10" x14ac:dyDescent="0.25">
      <c r="A79" s="1" t="s">
        <v>246</v>
      </c>
      <c r="B79" s="1" t="s">
        <v>36</v>
      </c>
      <c r="C79" s="1" t="s">
        <v>36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247</v>
      </c>
      <c r="I79" s="1" t="s">
        <v>248</v>
      </c>
      <c r="J79" s="1" t="s">
        <v>25</v>
      </c>
    </row>
    <row r="80" spans="1:10" x14ac:dyDescent="0.25">
      <c r="A80" s="1" t="s">
        <v>249</v>
      </c>
      <c r="B80" s="1" t="s">
        <v>36</v>
      </c>
      <c r="C80" s="1" t="s">
        <v>36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250</v>
      </c>
      <c r="I80" s="1" t="s">
        <v>251</v>
      </c>
      <c r="J80" s="1" t="s">
        <v>25</v>
      </c>
    </row>
    <row r="81" spans="1:10" x14ac:dyDescent="0.25">
      <c r="A81" s="1" t="s">
        <v>252</v>
      </c>
      <c r="B81" s="1" t="s">
        <v>36</v>
      </c>
      <c r="C81" s="1" t="s">
        <v>36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253</v>
      </c>
      <c r="I81" s="1" t="s">
        <v>254</v>
      </c>
      <c r="J81" s="1" t="s">
        <v>25</v>
      </c>
    </row>
    <row r="82" spans="1:10" x14ac:dyDescent="0.25">
      <c r="A82" s="1" t="s">
        <v>255</v>
      </c>
      <c r="B82" s="1" t="s">
        <v>36</v>
      </c>
      <c r="C82" s="1" t="s">
        <v>36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256</v>
      </c>
      <c r="I82" s="1" t="s">
        <v>257</v>
      </c>
      <c r="J82" s="1" t="s">
        <v>25</v>
      </c>
    </row>
    <row r="83" spans="1:10" x14ac:dyDescent="0.25">
      <c r="A83" s="1" t="s">
        <v>258</v>
      </c>
      <c r="B83" s="1" t="s">
        <v>36</v>
      </c>
      <c r="C83" s="1" t="s">
        <v>36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259</v>
      </c>
      <c r="I83" s="1" t="s">
        <v>260</v>
      </c>
      <c r="J83" s="1" t="s">
        <v>25</v>
      </c>
    </row>
    <row r="84" spans="1:10" x14ac:dyDescent="0.25">
      <c r="A84" s="1" t="s">
        <v>261</v>
      </c>
      <c r="B84" s="1" t="s">
        <v>36</v>
      </c>
      <c r="C84" s="1" t="s">
        <v>36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262</v>
      </c>
      <c r="I84" s="1" t="s">
        <v>263</v>
      </c>
      <c r="J84" s="1" t="s">
        <v>25</v>
      </c>
    </row>
    <row r="85" spans="1:10" x14ac:dyDescent="0.25">
      <c r="A85" s="1" t="s">
        <v>264</v>
      </c>
      <c r="B85" s="1" t="s">
        <v>36</v>
      </c>
      <c r="C85" s="1" t="s">
        <v>36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265</v>
      </c>
      <c r="I85" s="1" t="s">
        <v>266</v>
      </c>
      <c r="J85" s="1" t="s">
        <v>25</v>
      </c>
    </row>
    <row r="86" spans="1:10" x14ac:dyDescent="0.25">
      <c r="A86" s="1" t="s">
        <v>267</v>
      </c>
      <c r="B86" s="1" t="s">
        <v>36</v>
      </c>
      <c r="C86" s="1" t="s">
        <v>36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268</v>
      </c>
      <c r="I86" s="1" t="s">
        <v>91</v>
      </c>
      <c r="J86" s="1" t="s">
        <v>25</v>
      </c>
    </row>
    <row r="87" spans="1:10" x14ac:dyDescent="0.25">
      <c r="A87" s="1" t="s">
        <v>269</v>
      </c>
      <c r="B87" s="1" t="s">
        <v>36</v>
      </c>
      <c r="C87" s="1" t="s">
        <v>36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270</v>
      </c>
      <c r="I87" s="1" t="s">
        <v>271</v>
      </c>
      <c r="J87" s="1" t="s">
        <v>25</v>
      </c>
    </row>
    <row r="88" spans="1:10" x14ac:dyDescent="0.25">
      <c r="A88" s="1" t="s">
        <v>272</v>
      </c>
      <c r="B88" s="1" t="s">
        <v>36</v>
      </c>
      <c r="C88" s="1" t="s">
        <v>36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273</v>
      </c>
      <c r="I88" s="1" t="s">
        <v>274</v>
      </c>
      <c r="J88" s="1" t="s">
        <v>25</v>
      </c>
    </row>
    <row r="89" spans="1:10" x14ac:dyDescent="0.25">
      <c r="A89" s="1" t="s">
        <v>275</v>
      </c>
      <c r="B89" s="1" t="s">
        <v>36</v>
      </c>
      <c r="C89" s="1" t="s">
        <v>36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276</v>
      </c>
      <c r="I89" s="1" t="s">
        <v>277</v>
      </c>
      <c r="J89" s="1" t="s">
        <v>25</v>
      </c>
    </row>
    <row r="90" spans="1:10" x14ac:dyDescent="0.25">
      <c r="A90" s="1" t="s">
        <v>278</v>
      </c>
      <c r="B90" s="1" t="s">
        <v>36</v>
      </c>
      <c r="C90" s="1" t="s">
        <v>36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191</v>
      </c>
      <c r="I90" s="1" t="s">
        <v>279</v>
      </c>
      <c r="J90" s="1" t="s">
        <v>25</v>
      </c>
    </row>
    <row r="91" spans="1:10" x14ac:dyDescent="0.25">
      <c r="A91" s="1" t="s">
        <v>280</v>
      </c>
      <c r="B91" s="1" t="s">
        <v>36</v>
      </c>
      <c r="C91" s="1" t="s">
        <v>36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281</v>
      </c>
      <c r="I91" s="1" t="s">
        <v>282</v>
      </c>
      <c r="J91" s="1" t="s">
        <v>25</v>
      </c>
    </row>
    <row r="92" spans="1:10" x14ac:dyDescent="0.25">
      <c r="A92" s="1" t="s">
        <v>283</v>
      </c>
      <c r="B92" s="1" t="s">
        <v>36</v>
      </c>
      <c r="C92" s="1" t="s">
        <v>36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284</v>
      </c>
      <c r="I92" s="1" t="s">
        <v>285</v>
      </c>
      <c r="J92" s="1" t="s">
        <v>25</v>
      </c>
    </row>
    <row r="93" spans="1:10" x14ac:dyDescent="0.25">
      <c r="A93" s="1" t="s">
        <v>286</v>
      </c>
      <c r="B93" s="1" t="s">
        <v>36</v>
      </c>
      <c r="C93" s="1" t="s">
        <v>36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287</v>
      </c>
      <c r="I93" s="1" t="s">
        <v>288</v>
      </c>
      <c r="J93" s="1" t="s">
        <v>25</v>
      </c>
    </row>
    <row r="94" spans="1:10" x14ac:dyDescent="0.25">
      <c r="A94" s="1" t="s">
        <v>289</v>
      </c>
      <c r="B94" s="1" t="s">
        <v>36</v>
      </c>
      <c r="C94" s="1" t="s">
        <v>36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290</v>
      </c>
      <c r="I94" s="1" t="s">
        <v>291</v>
      </c>
      <c r="J94" s="1" t="s">
        <v>25</v>
      </c>
    </row>
    <row r="95" spans="1:10" x14ac:dyDescent="0.25">
      <c r="A95" s="1" t="s">
        <v>292</v>
      </c>
      <c r="B95" s="1" t="s">
        <v>36</v>
      </c>
      <c r="C95" s="1" t="s">
        <v>36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293</v>
      </c>
      <c r="I95" s="1" t="s">
        <v>239</v>
      </c>
      <c r="J95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L27"/>
  <sheetViews>
    <sheetView tabSelected="1" workbookViewId="0">
      <selection activeCell="H28" sqref="H28"/>
    </sheetView>
  </sheetViews>
  <sheetFormatPr defaultRowHeight="15" x14ac:dyDescent="0.25"/>
  <cols>
    <col min="4" max="4" width="11.42578125" customWidth="1"/>
  </cols>
  <sheetData>
    <row r="3" spans="4:12" x14ac:dyDescent="0.25">
      <c r="E3" s="3" t="s">
        <v>308</v>
      </c>
      <c r="F3" s="3"/>
      <c r="G3" s="3" t="s">
        <v>309</v>
      </c>
      <c r="H3" s="3"/>
      <c r="I3" s="3" t="s">
        <v>310</v>
      </c>
      <c r="J3" s="3"/>
      <c r="K3" s="3" t="s">
        <v>311</v>
      </c>
      <c r="L3" s="3"/>
    </row>
    <row r="4" spans="4:12" x14ac:dyDescent="0.25">
      <c r="E4" s="2" t="s">
        <v>21</v>
      </c>
      <c r="F4" s="2" t="s">
        <v>36</v>
      </c>
      <c r="G4" s="2" t="s">
        <v>21</v>
      </c>
      <c r="H4" s="2" t="s">
        <v>36</v>
      </c>
      <c r="I4" s="2" t="s">
        <v>21</v>
      </c>
      <c r="J4" s="2" t="s">
        <v>36</v>
      </c>
      <c r="K4" s="2" t="s">
        <v>21</v>
      </c>
      <c r="L4" s="2" t="s">
        <v>36</v>
      </c>
    </row>
    <row r="5" spans="4:12" x14ac:dyDescent="0.25">
      <c r="D5" s="2" t="s">
        <v>304</v>
      </c>
      <c r="E5">
        <v>25</v>
      </c>
      <c r="F5">
        <v>47</v>
      </c>
      <c r="G5">
        <v>44</v>
      </c>
      <c r="H5">
        <v>43</v>
      </c>
      <c r="I5">
        <v>44</v>
      </c>
      <c r="J5">
        <v>35</v>
      </c>
      <c r="K5">
        <v>44</v>
      </c>
      <c r="L5">
        <v>23</v>
      </c>
    </row>
    <row r="6" spans="4:12" x14ac:dyDescent="0.25">
      <c r="D6" s="2" t="s">
        <v>305</v>
      </c>
      <c r="E6">
        <v>44</v>
      </c>
      <c r="F6">
        <v>49</v>
      </c>
      <c r="G6">
        <v>44</v>
      </c>
      <c r="H6">
        <v>49</v>
      </c>
      <c r="I6">
        <v>44</v>
      </c>
      <c r="J6">
        <v>49</v>
      </c>
      <c r="K6">
        <v>44</v>
      </c>
      <c r="L6">
        <v>49</v>
      </c>
    </row>
    <row r="7" spans="4:12" x14ac:dyDescent="0.25">
      <c r="D7" s="2" t="s">
        <v>306</v>
      </c>
      <c r="E7">
        <v>0.56818181818181823</v>
      </c>
      <c r="F7">
        <v>0.95918367346938771</v>
      </c>
      <c r="G7">
        <v>1</v>
      </c>
      <c r="H7">
        <v>0.87755102040816324</v>
      </c>
      <c r="I7">
        <v>1</v>
      </c>
      <c r="J7">
        <v>0.7142857142857143</v>
      </c>
      <c r="K7">
        <v>1</v>
      </c>
      <c r="L7">
        <v>0.46938775510204084</v>
      </c>
    </row>
    <row r="8" spans="4:12" x14ac:dyDescent="0.25">
      <c r="E8">
        <f>E7*100</f>
        <v>56.81818181818182</v>
      </c>
      <c r="F8">
        <f t="shared" ref="F8:L8" si="0">F7*100</f>
        <v>95.918367346938766</v>
      </c>
      <c r="G8">
        <f t="shared" si="0"/>
        <v>100</v>
      </c>
      <c r="H8">
        <f t="shared" si="0"/>
        <v>87.755102040816325</v>
      </c>
      <c r="I8">
        <f t="shared" si="0"/>
        <v>100</v>
      </c>
      <c r="J8">
        <f t="shared" si="0"/>
        <v>71.428571428571431</v>
      </c>
      <c r="K8">
        <f t="shared" si="0"/>
        <v>100</v>
      </c>
      <c r="L8">
        <f t="shared" si="0"/>
        <v>46.938775510204081</v>
      </c>
    </row>
    <row r="10" spans="4:12" x14ac:dyDescent="0.25">
      <c r="E10" t="s">
        <v>312</v>
      </c>
    </row>
    <row r="15" spans="4:12" x14ac:dyDescent="0.25">
      <c r="E15" s="3" t="s">
        <v>308</v>
      </c>
      <c r="F15" s="3"/>
      <c r="G15" s="3" t="s">
        <v>309</v>
      </c>
      <c r="H15" s="3"/>
      <c r="I15" s="3" t="s">
        <v>310</v>
      </c>
      <c r="J15" s="3"/>
      <c r="K15" s="3" t="s">
        <v>311</v>
      </c>
      <c r="L15" s="3"/>
    </row>
    <row r="16" spans="4:12" x14ac:dyDescent="0.25">
      <c r="E16" s="2" t="s">
        <v>21</v>
      </c>
      <c r="F16" s="2" t="s">
        <v>36</v>
      </c>
      <c r="G16" s="2" t="s">
        <v>21</v>
      </c>
      <c r="H16" s="2" t="s">
        <v>36</v>
      </c>
      <c r="I16" s="2" t="s">
        <v>21</v>
      </c>
      <c r="J16" s="2" t="s">
        <v>36</v>
      </c>
      <c r="K16" s="2" t="s">
        <v>21</v>
      </c>
      <c r="L16" s="2" t="s">
        <v>36</v>
      </c>
    </row>
    <row r="17" spans="4:12" x14ac:dyDescent="0.25">
      <c r="D17" s="2" t="s">
        <v>306</v>
      </c>
      <c r="E17">
        <v>0.56818181818181823</v>
      </c>
      <c r="F17">
        <v>0.95918367346938771</v>
      </c>
      <c r="G17">
        <v>1</v>
      </c>
      <c r="H17">
        <v>0.87755102040816324</v>
      </c>
      <c r="I17">
        <v>1</v>
      </c>
      <c r="J17">
        <v>0.7142857142857143</v>
      </c>
      <c r="K17">
        <v>1</v>
      </c>
      <c r="L17">
        <v>0.46938775510204084</v>
      </c>
    </row>
    <row r="22" spans="4:12" x14ac:dyDescent="0.25">
      <c r="E22" t="s">
        <v>313</v>
      </c>
      <c r="F22" t="s">
        <v>314</v>
      </c>
      <c r="I22" t="s">
        <v>315</v>
      </c>
      <c r="J22" t="s">
        <v>313</v>
      </c>
      <c r="K22" t="s">
        <v>314</v>
      </c>
    </row>
    <row r="23" spans="4:12" x14ac:dyDescent="0.25">
      <c r="D23">
        <v>0.25</v>
      </c>
      <c r="E23">
        <v>1</v>
      </c>
      <c r="F23">
        <v>0.46929999999999999</v>
      </c>
      <c r="I23">
        <v>0.25</v>
      </c>
      <c r="J23">
        <f>E23*100</f>
        <v>100</v>
      </c>
      <c r="K23">
        <f>F23*100</f>
        <v>46.93</v>
      </c>
    </row>
    <row r="24" spans="4:12" x14ac:dyDescent="0.25">
      <c r="D24">
        <v>0.2</v>
      </c>
      <c r="E24">
        <v>1</v>
      </c>
      <c r="F24">
        <v>0.71419999999999995</v>
      </c>
      <c r="I24">
        <v>0.2</v>
      </c>
      <c r="J24">
        <f t="shared" ref="J24:J27" si="1">E24*100</f>
        <v>100</v>
      </c>
      <c r="K24">
        <f t="shared" ref="K24:K27" si="2">F24*100</f>
        <v>71.419999999999987</v>
      </c>
    </row>
    <row r="25" spans="4:12" x14ac:dyDescent="0.25">
      <c r="D25">
        <v>0.18</v>
      </c>
      <c r="E25">
        <v>1</v>
      </c>
      <c r="F25">
        <v>0.87749999999999995</v>
      </c>
      <c r="I25">
        <v>0.18</v>
      </c>
      <c r="J25">
        <f t="shared" si="1"/>
        <v>100</v>
      </c>
      <c r="K25">
        <f t="shared" si="2"/>
        <v>87.75</v>
      </c>
    </row>
    <row r="26" spans="4:12" x14ac:dyDescent="0.25">
      <c r="D26">
        <v>0.15</v>
      </c>
      <c r="E26">
        <v>0.95450000000000002</v>
      </c>
      <c r="F26">
        <v>0.91830000000000001</v>
      </c>
      <c r="I26">
        <v>0.15</v>
      </c>
      <c r="J26">
        <f t="shared" si="1"/>
        <v>95.45</v>
      </c>
      <c r="K26">
        <f t="shared" si="2"/>
        <v>91.83</v>
      </c>
    </row>
    <row r="27" spans="4:12" x14ac:dyDescent="0.25">
      <c r="D27">
        <v>0.1</v>
      </c>
      <c r="E27">
        <v>0.56810000000000005</v>
      </c>
      <c r="F27">
        <v>0.95909999999999995</v>
      </c>
      <c r="I27">
        <v>0.1</v>
      </c>
      <c r="J27">
        <f t="shared" si="1"/>
        <v>56.81</v>
      </c>
      <c r="K27">
        <f t="shared" si="2"/>
        <v>95.91</v>
      </c>
    </row>
  </sheetData>
  <mergeCells count="8">
    <mergeCell ref="I15:J15"/>
    <mergeCell ref="K15:L15"/>
    <mergeCell ref="E3:F3"/>
    <mergeCell ref="G3:H3"/>
    <mergeCell ref="I3:J3"/>
    <mergeCell ref="K3:L3"/>
    <mergeCell ref="E15:F15"/>
    <mergeCell ref="G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84645-C97B-4D77-AA57-DDCF80673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tests_results_25</vt:lpstr>
      <vt:lpstr>tests_results_20</vt:lpstr>
      <vt:lpstr>tests_results_18</vt:lpstr>
      <vt:lpstr>tests_results_10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SSSS</dc:creator>
  <cp:lastModifiedBy>Jakub SSSS</cp:lastModifiedBy>
  <dcterms:created xsi:type="dcterms:W3CDTF">2015-06-05T18:19:34Z</dcterms:created>
  <dcterms:modified xsi:type="dcterms:W3CDTF">2026-04-13T14:31:20Z</dcterms:modified>
</cp:coreProperties>
</file>